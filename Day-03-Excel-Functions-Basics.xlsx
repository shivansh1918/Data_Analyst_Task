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me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9CED6670-360D-1043-A4C0-6C10D21C61B3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Functions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1" l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J6" i="1"/>
  <c r="G6" i="1"/>
  <c r="F6" i="1"/>
  <c r="E6" i="1"/>
  <c r="J5" i="1"/>
  <c r="G5" i="1"/>
  <c r="F5" i="1"/>
  <c r="E5" i="1"/>
  <c r="J4" i="1"/>
  <c r="G4" i="1"/>
  <c r="F4" i="1"/>
  <c r="E4" i="1"/>
  <c r="J3" i="1"/>
  <c r="G3" i="1"/>
  <c r="F3" i="1"/>
  <c r="E3" i="1"/>
  <c r="J2" i="1"/>
  <c r="G2" i="1"/>
  <c r="F2" i="1"/>
  <c r="E2" i="1"/>
</calcChain>
</file>

<file path=xl/sharedStrings.xml><?xml version="1.0" encoding="utf-8"?>
<sst xmlns="http://schemas.openxmlformats.org/spreadsheetml/2006/main" count="25" uniqueCount="25">
  <si>
    <t>Name</t>
  </si>
  <si>
    <t>Salary</t>
  </si>
  <si>
    <t>Years</t>
  </si>
  <si>
    <t>Rating</t>
  </si>
  <si>
    <t>Bonus 10%</t>
  </si>
  <si>
    <t>Annual Salary</t>
  </si>
  <si>
    <t>Rounded Rating</t>
  </si>
  <si>
    <t>Function Practice</t>
  </si>
  <si>
    <t>Aarav</t>
  </si>
  <si>
    <t>COUNT</t>
  </si>
  <si>
    <t>Diya</t>
  </si>
  <si>
    <t>COUNTA</t>
  </si>
  <si>
    <t>Kabir</t>
  </si>
  <si>
    <t>SUM</t>
  </si>
  <si>
    <t>Ananya</t>
  </si>
  <si>
    <t>AVERAGE</t>
  </si>
  <si>
    <t>Rohan</t>
  </si>
  <si>
    <t>ROUND Avg Rating</t>
  </si>
  <si>
    <t>Meera</t>
  </si>
  <si>
    <t>Arjun</t>
  </si>
  <si>
    <t>Sara</t>
  </si>
  <si>
    <t>Vivaan</t>
  </si>
  <si>
    <t>Ishita</t>
  </si>
  <si>
    <t>Advik</t>
  </si>
  <si>
    <t>Kiara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</si>
</sst>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0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/>
  </sheetViews>
  <sheetFormatPr defaultColWidth="8.7421875" defaultRowHeight="15" customHeight="1" x14ac:dyDescent="0.2"/>
  <cols>
    <col min="1" max="4" width="9.953125" customWidth="1"/>
    <col min="5" max="5" width="11.02734375" customWidth="1"/>
    <col min="6" max="6" width="14.9296875" customWidth="1"/>
    <col min="7" max="7" width="16.0078125" customWidth="1"/>
    <col min="8" max="8" width="9.953125" customWidth="1"/>
    <col min="9" max="9" width="18.96484375" customWidth="1"/>
    <col min="10" max="10" width="27.039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spans="1:10" x14ac:dyDescent="0.2">
      <c r="A2" s="3" t="s">
        <v>8</v>
      </c>
      <c r="B2" s="4">
        <v>42000</v>
      </c>
      <c r="C2" s="3">
        <v>8</v>
      </c>
      <c r="D2" s="3">
        <v>4.2</v>
      </c>
      <c r="E2" s="4">
        <f>B2*10%</f>
        <v>4200</v>
      </c>
      <c r="F2" s="4">
        <f>B2*12</f>
        <v>504000</v>
      </c>
      <c r="G2" s="3">
        <f>ROUND(D2,0)</f>
        <v>4</v>
      </c>
      <c r="I2" t="s">
        <v>9</v>
      </c>
      <c r="J2">
        <f>COUNT(B2:B13)</f>
        <v>12</v>
      </c>
    </row>
    <row r="3" spans="1:10" x14ac:dyDescent="0.2">
      <c r="A3" s="3" t="s">
        <v>10</v>
      </c>
      <c r="B3" s="4">
        <v>39000</v>
      </c>
      <c r="C3" s="3">
        <v>7</v>
      </c>
      <c r="D3" s="3">
        <v>4</v>
      </c>
      <c r="E3" s="4">
        <f>B3*10%</f>
        <v>3900</v>
      </c>
      <c r="F3" s="4">
        <f>B3*12</f>
        <v>468000</v>
      </c>
      <c r="G3" s="3">
        <f>ROUND(D3,0)</f>
        <v>4</v>
      </c>
      <c r="I3" t="s">
        <v>11</v>
      </c>
      <c r="J3">
        <f>COUNTA(A2:A13)</f>
        <v>12</v>
      </c>
    </row>
    <row r="4" spans="1:10" x14ac:dyDescent="0.2">
      <c r="A4" s="3" t="s">
        <v>12</v>
      </c>
      <c r="B4" s="4">
        <v>55000</v>
      </c>
      <c r="C4" s="3">
        <v>9</v>
      </c>
      <c r="D4" s="3">
        <v>4.5999999999999996</v>
      </c>
      <c r="E4" s="4">
        <f>B4*10%</f>
        <v>5500</v>
      </c>
      <c r="F4" s="4">
        <f>B4*12</f>
        <v>660000</v>
      </c>
      <c r="G4" s="3">
        <f>ROUND(D4,0)</f>
        <v>5</v>
      </c>
      <c r="I4" t="s">
        <v>13</v>
      </c>
      <c r="J4">
        <f>SUM(B2:B13)</f>
        <v>604000</v>
      </c>
    </row>
    <row r="5" spans="1:10" x14ac:dyDescent="0.2">
      <c r="A5" s="3" t="s">
        <v>14</v>
      </c>
      <c r="B5" s="4">
        <v>47000</v>
      </c>
      <c r="C5" s="3">
        <v>8</v>
      </c>
      <c r="D5" s="3">
        <v>4.4000000000000004</v>
      </c>
      <c r="E5" s="4">
        <f>B5*10%</f>
        <v>4700</v>
      </c>
      <c r="F5" s="4">
        <f>B5*12</f>
        <v>564000</v>
      </c>
      <c r="G5" s="3">
        <f>ROUND(D5,0)</f>
        <v>4</v>
      </c>
      <c r="I5" t="s">
        <v>15</v>
      </c>
      <c r="J5">
        <f>AVERAGE(B2:B13)</f>
        <v>50333.333333333336</v>
      </c>
    </row>
    <row r="6" spans="1:10" x14ac:dyDescent="0.2">
      <c r="A6" s="3" t="s">
        <v>16</v>
      </c>
      <c r="B6" s="4">
        <v>62000</v>
      </c>
      <c r="C6" s="3">
        <v>10</v>
      </c>
      <c r="D6" s="3">
        <v>4.8</v>
      </c>
      <c r="E6" s="4">
        <f>B6*10%</f>
        <v>6200</v>
      </c>
      <c r="F6" s="4">
        <f>B6*12</f>
        <v>744000</v>
      </c>
      <c r="G6" s="3">
        <f>ROUND(D6,0)</f>
        <v>5</v>
      </c>
      <c r="I6" t="s">
        <v>17</v>
      </c>
      <c r="J6">
        <f>ROUND(AVERAGE(D2:D13),1)</f>
        <v>4.3</v>
      </c>
    </row>
    <row r="7" spans="1:10" x14ac:dyDescent="0.2">
      <c r="A7" s="3" t="s">
        <v>18</v>
      </c>
      <c r="B7" s="4">
        <v>58000</v>
      </c>
      <c r="C7" s="3">
        <v>9</v>
      </c>
      <c r="D7" s="3">
        <v>4.5</v>
      </c>
      <c r="E7" s="4">
        <f>B7*10%</f>
        <v>5800</v>
      </c>
      <c r="F7" s="4">
        <f>B7*12</f>
        <v>696000</v>
      </c>
      <c r="G7" s="3">
        <f>ROUND(D7,0)</f>
        <v>5</v>
      </c>
    </row>
    <row r="8" spans="1:10" x14ac:dyDescent="0.2">
      <c r="A8" s="3" t="s">
        <v>19</v>
      </c>
      <c r="B8" s="4">
        <v>45000</v>
      </c>
      <c r="C8" s="3">
        <v>8</v>
      </c>
      <c r="D8" s="3">
        <v>4.0999999999999996</v>
      </c>
      <c r="E8" s="4">
        <f>B8*10%</f>
        <v>4500</v>
      </c>
      <c r="F8" s="4">
        <f>B8*12</f>
        <v>540000</v>
      </c>
      <c r="G8" s="3">
        <f>ROUND(D8,0)</f>
        <v>4</v>
      </c>
    </row>
    <row r="9" spans="1:10" x14ac:dyDescent="0.2">
      <c r="A9" s="3" t="s">
        <v>20</v>
      </c>
      <c r="B9" s="4">
        <v>50000</v>
      </c>
      <c r="C9" s="3">
        <v>7</v>
      </c>
      <c r="D9" s="3">
        <v>4.3</v>
      </c>
      <c r="E9" s="4">
        <f>B9*10%</f>
        <v>5000</v>
      </c>
      <c r="F9" s="4">
        <f>B9*12</f>
        <v>600000</v>
      </c>
      <c r="G9" s="3">
        <f>ROUND(D9,0)</f>
        <v>4</v>
      </c>
    </row>
    <row r="10" spans="1:10" x14ac:dyDescent="0.2">
      <c r="A10" s="3" t="s">
        <v>21</v>
      </c>
      <c r="B10" s="4">
        <v>60000</v>
      </c>
      <c r="C10" s="3">
        <v>11</v>
      </c>
      <c r="D10" s="3">
        <v>4.7</v>
      </c>
      <c r="E10" s="4">
        <f>B10*10%</f>
        <v>6000</v>
      </c>
      <c r="F10" s="4">
        <f>B10*12</f>
        <v>720000</v>
      </c>
      <c r="G10" s="3">
        <f>ROUND(D10,0)</f>
        <v>5</v>
      </c>
    </row>
    <row r="11" spans="1:10" x14ac:dyDescent="0.2">
      <c r="A11" s="3" t="s">
        <v>22</v>
      </c>
      <c r="B11" s="4">
        <v>52000</v>
      </c>
      <c r="C11" s="3">
        <v>8</v>
      </c>
      <c r="D11" s="3">
        <v>4.4000000000000004</v>
      </c>
      <c r="E11" s="4">
        <f>B11*10%</f>
        <v>5200</v>
      </c>
      <c r="F11" s="4">
        <f>B11*12</f>
        <v>624000</v>
      </c>
      <c r="G11" s="3">
        <f>ROUND(D11,0)</f>
        <v>4</v>
      </c>
    </row>
    <row r="12" spans="1:10" x14ac:dyDescent="0.2">
      <c r="A12" s="3" t="s">
        <v>23</v>
      </c>
      <c r="B12" s="4">
        <v>48000</v>
      </c>
      <c r="C12" s="3">
        <v>7</v>
      </c>
      <c r="D12" s="3">
        <v>4</v>
      </c>
      <c r="E12" s="4">
        <f>B12*10%</f>
        <v>4800</v>
      </c>
      <c r="F12" s="4">
        <f>B12*12</f>
        <v>576000</v>
      </c>
      <c r="G12" s="3">
        <f>ROUND(D12,0)</f>
        <v>4</v>
      </c>
    </row>
    <row r="13" spans="1:10" x14ac:dyDescent="0.2">
      <c r="A13" s="3" t="s">
        <v>24</v>
      </c>
      <c r="B13" s="4">
        <v>46000</v>
      </c>
      <c r="C13" s="3">
        <v>6</v>
      </c>
      <c r="D13" s="3">
        <v>3.9</v>
      </c>
      <c r="E13" s="4">
        <f>B13*10%</f>
        <v>4600</v>
      </c>
      <c r="F13" s="4">
        <f>B13*12</f>
        <v>552000</v>
      </c>
      <c r="G13" s="3">
        <f>ROUND(D13,0)</f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dcterms:created xsi:type="dcterms:W3CDTF">2026-09-30T09:11:34Z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