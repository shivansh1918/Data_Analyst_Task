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D37D2149-C34B-AF46-A4FB-E0F223ACD138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Pivot Data" sheetId="1" r:id="rId1"/>
    <sheet name="Pivot Analysi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7" i="2"/>
  <c r="C7" i="2"/>
  <c r="D7" i="2"/>
  <c r="E7" i="2"/>
  <c r="F7" i="2"/>
  <c r="B6" i="2"/>
  <c r="C6" i="2"/>
  <c r="D6" i="2"/>
  <c r="E6" i="2"/>
  <c r="F6" i="2"/>
  <c r="B12" i="2"/>
  <c r="B11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<sst xmlns="http://schemas.openxmlformats.org/spreadsheetml/2006/main" count="93" uniqueCount="28">
  <si>
    <t>Date</t>
  </si>
  <si>
    <t>Month</t>
  </si>
  <si>
    <t>Region</t>
  </si>
  <si>
    <t>Product ID</t>
  </si>
  <si>
    <t>Units</t>
  </si>
  <si>
    <t>Revenue</t>
  </si>
  <si>
    <t>Jan</t>
  </si>
  <si>
    <t>North</t>
  </si>
  <si>
    <t>P001</t>
  </si>
  <si>
    <t>West</t>
  </si>
  <si>
    <t>P003</t>
  </si>
  <si>
    <t>South</t>
  </si>
  <si>
    <t>P005</t>
  </si>
  <si>
    <t>East</t>
  </si>
  <si>
    <t>P002</t>
  </si>
  <si>
    <t>Feb</t>
  </si>
  <si>
    <t>P004</t>
  </si>
  <si>
    <t>P006</t>
  </si>
  <si>
    <t>P007</t>
  </si>
  <si>
    <t>P008</t>
  </si>
  <si>
    <t>Mar</t>
  </si>
  <si>
    <t>Apr</t>
  </si>
  <si>
    <t>May</t>
  </si>
  <si>
    <t>Jun</t>
  </si>
  <si>
    <t>Grand Total</t>
  </si>
  <si>
    <t>Region Total</t>
  </si>
  <si>
    <t>Highest Month</t>
  </si>
  <si>
    <t>Average Monthly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</si>
</sst>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Font="1" applyBorder="1"/>
    <xf numFmtId="165" fontId="0" fillId="0" borderId="1" xfId="0" applyNumberFormat="1" applyBorder="1"/>
    <xf numFmtId="0" fontId="2" fillId="0" borderId="1" xfId="0" applyFont="1" applyBorder="1"/>
    <xf numFmtId="165" fontId="2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AnalysisSource" displayName="PivotAnalysisSource" ref="A1:F25" totalsRowShown="0">
  <autoFilter ref="A1:F25" xr:uid="{00000000-0009-0000-0100-000001000000}"/>
  <tableColumns count="6">
    <tableColumn id="1" xr3:uid="{00000000-0010-0000-0000-000001000000}" name="Date"/>
    <tableColumn id="2" xr3:uid="{00000000-0010-0000-0000-000002000000}" name="Month"/>
    <tableColumn id="3" xr3:uid="{00000000-0010-0000-0000-000003000000}" name="Region"/>
    <tableColumn id="4" xr3:uid="{00000000-0010-0000-0000-000004000000}" name="Product ID"/>
    <tableColumn id="5" xr3:uid="{00000000-0010-0000-0000-000005000000}" name="Units"/>
    <tableColumn id="6" xr3:uid="{00000000-0010-0000-0000-000006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421875" defaultRowHeight="15" customHeight="1" x14ac:dyDescent="0.2"/>
  <cols>
    <col min="1" max="1" width="11.97265625" customWidth="1"/>
    <col min="2" max="3" width="9.953125" customWidth="1"/>
    <col min="4" max="4" width="11.97265625" customWidth="1"/>
    <col min="5" max="6" width="9.9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46027</v>
      </c>
      <c r="B2" s="3" t="s">
        <v>6</v>
      </c>
      <c r="C2" s="3" t="s">
        <v>7</v>
      </c>
      <c r="D2" s="3" t="s">
        <v>8</v>
      </c>
      <c r="E2" s="3">
        <v>2</v>
      </c>
      <c r="F2" s="4">
        <v>130000</v>
      </c>
    </row>
    <row r="3" spans="1:6" x14ac:dyDescent="0.2">
      <c r="A3" s="2">
        <v>46030</v>
      </c>
      <c r="B3" s="3" t="s">
        <v>6</v>
      </c>
      <c r="C3" s="3" t="s">
        <v>9</v>
      </c>
      <c r="D3" s="3" t="s">
        <v>10</v>
      </c>
      <c r="E3" s="3">
        <v>10</v>
      </c>
      <c r="F3" s="4">
        <v>25000</v>
      </c>
    </row>
    <row r="4" spans="1:6" x14ac:dyDescent="0.2">
      <c r="A4" s="2">
        <v>46034</v>
      </c>
      <c r="B4" s="3" t="s">
        <v>6</v>
      </c>
      <c r="C4" s="3" t="s">
        <v>11</v>
      </c>
      <c r="D4" s="3" t="s">
        <v>12</v>
      </c>
      <c r="E4" s="3">
        <v>4</v>
      </c>
      <c r="F4" s="4">
        <v>48000</v>
      </c>
    </row>
    <row r="5" spans="1:6" x14ac:dyDescent="0.2">
      <c r="A5" s="2">
        <v>46040</v>
      </c>
      <c r="B5" s="3" t="s">
        <v>6</v>
      </c>
      <c r="C5" s="3" t="s">
        <v>13</v>
      </c>
      <c r="D5" s="3" t="s">
        <v>14</v>
      </c>
      <c r="E5" s="3">
        <v>8</v>
      </c>
      <c r="F5" s="4">
        <v>144000</v>
      </c>
    </row>
    <row r="6" spans="1:6" x14ac:dyDescent="0.2">
      <c r="A6" s="2">
        <v>46056</v>
      </c>
      <c r="B6" s="3" t="s">
        <v>15</v>
      </c>
      <c r="C6" s="3" t="s">
        <v>7</v>
      </c>
      <c r="D6" s="3" t="s">
        <v>16</v>
      </c>
      <c r="E6" s="3">
        <v>15</v>
      </c>
      <c r="F6" s="4">
        <v>22500</v>
      </c>
    </row>
    <row r="7" spans="1:6" x14ac:dyDescent="0.2">
      <c r="A7" s="2">
        <v>46063</v>
      </c>
      <c r="B7" s="3" t="s">
        <v>15</v>
      </c>
      <c r="C7" s="3" t="s">
        <v>9</v>
      </c>
      <c r="D7" s="3" t="s">
        <v>17</v>
      </c>
      <c r="E7" s="3">
        <v>5</v>
      </c>
      <c r="F7" s="4">
        <v>45000</v>
      </c>
    </row>
    <row r="8" spans="1:6" x14ac:dyDescent="0.2">
      <c r="A8" s="2">
        <v>46067</v>
      </c>
      <c r="B8" s="3" t="s">
        <v>15</v>
      </c>
      <c r="C8" s="3" t="s">
        <v>11</v>
      </c>
      <c r="D8" s="3" t="s">
        <v>18</v>
      </c>
      <c r="E8" s="3">
        <v>12</v>
      </c>
      <c r="F8" s="4">
        <v>42000</v>
      </c>
    </row>
    <row r="9" spans="1:6" x14ac:dyDescent="0.2">
      <c r="A9" s="2">
        <v>46074</v>
      </c>
      <c r="B9" s="3" t="s">
        <v>15</v>
      </c>
      <c r="C9" s="3" t="s">
        <v>13</v>
      </c>
      <c r="D9" s="3" t="s">
        <v>19</v>
      </c>
      <c r="E9" s="3">
        <v>3</v>
      </c>
      <c r="F9" s="4">
        <v>66000</v>
      </c>
    </row>
    <row r="10" spans="1:6" x14ac:dyDescent="0.2">
      <c r="A10" s="2">
        <v>46083</v>
      </c>
      <c r="B10" s="3" t="s">
        <v>20</v>
      </c>
      <c r="C10" s="3" t="s">
        <v>7</v>
      </c>
      <c r="D10" s="3" t="s">
        <v>14</v>
      </c>
      <c r="E10" s="3">
        <v>7</v>
      </c>
      <c r="F10" s="4">
        <v>126000</v>
      </c>
    </row>
    <row r="11" spans="1:6" x14ac:dyDescent="0.2">
      <c r="A11" s="2">
        <v>46090</v>
      </c>
      <c r="B11" s="3" t="s">
        <v>20</v>
      </c>
      <c r="C11" s="3" t="s">
        <v>9</v>
      </c>
      <c r="D11" s="3" t="s">
        <v>8</v>
      </c>
      <c r="E11" s="3">
        <v>3</v>
      </c>
      <c r="F11" s="4">
        <v>195000</v>
      </c>
    </row>
    <row r="12" spans="1:6" x14ac:dyDescent="0.2">
      <c r="A12" s="2">
        <v>46096</v>
      </c>
      <c r="B12" s="3" t="s">
        <v>20</v>
      </c>
      <c r="C12" s="3" t="s">
        <v>11</v>
      </c>
      <c r="D12" s="3" t="s">
        <v>10</v>
      </c>
      <c r="E12" s="3">
        <v>20</v>
      </c>
      <c r="F12" s="4">
        <v>50000</v>
      </c>
    </row>
    <row r="13" spans="1:6" x14ac:dyDescent="0.2">
      <c r="A13" s="2">
        <v>46103</v>
      </c>
      <c r="B13" s="3" t="s">
        <v>20</v>
      </c>
      <c r="C13" s="3" t="s">
        <v>13</v>
      </c>
      <c r="D13" s="3" t="s">
        <v>12</v>
      </c>
      <c r="E13" s="3">
        <v>6</v>
      </c>
      <c r="F13" s="4">
        <v>72000</v>
      </c>
    </row>
    <row r="14" spans="1:6" x14ac:dyDescent="0.2">
      <c r="A14" s="2">
        <v>46116</v>
      </c>
      <c r="B14" s="3" t="s">
        <v>21</v>
      </c>
      <c r="C14" s="3" t="s">
        <v>7</v>
      </c>
      <c r="D14" s="3" t="s">
        <v>17</v>
      </c>
      <c r="E14" s="3">
        <v>7</v>
      </c>
      <c r="F14" s="4">
        <v>63000</v>
      </c>
    </row>
    <row r="15" spans="1:6" x14ac:dyDescent="0.2">
      <c r="A15" s="2">
        <v>46123</v>
      </c>
      <c r="B15" s="3" t="s">
        <v>21</v>
      </c>
      <c r="C15" s="3" t="s">
        <v>9</v>
      </c>
      <c r="D15" s="3" t="s">
        <v>19</v>
      </c>
      <c r="E15" s="3">
        <v>4</v>
      </c>
      <c r="F15" s="4">
        <v>88000</v>
      </c>
    </row>
    <row r="16" spans="1:6" x14ac:dyDescent="0.2">
      <c r="A16" s="2">
        <v>46129</v>
      </c>
      <c r="B16" s="3" t="s">
        <v>21</v>
      </c>
      <c r="C16" s="3" t="s">
        <v>11</v>
      </c>
      <c r="D16" s="3" t="s">
        <v>16</v>
      </c>
      <c r="E16" s="3">
        <v>25</v>
      </c>
      <c r="F16" s="4">
        <v>37500</v>
      </c>
    </row>
    <row r="17" spans="1:6" x14ac:dyDescent="0.2">
      <c r="A17" s="2">
        <v>46137</v>
      </c>
      <c r="B17" s="3" t="s">
        <v>21</v>
      </c>
      <c r="C17" s="3" t="s">
        <v>13</v>
      </c>
      <c r="D17" s="3" t="s">
        <v>18</v>
      </c>
      <c r="E17" s="3">
        <v>15</v>
      </c>
      <c r="F17" s="4">
        <v>52500</v>
      </c>
    </row>
    <row r="18" spans="1:6" x14ac:dyDescent="0.2">
      <c r="A18" s="2">
        <v>46148</v>
      </c>
      <c r="B18" s="3" t="s">
        <v>22</v>
      </c>
      <c r="C18" s="3" t="s">
        <v>7</v>
      </c>
      <c r="D18" s="3" t="s">
        <v>8</v>
      </c>
      <c r="E18" s="3">
        <v>1</v>
      </c>
      <c r="F18" s="4">
        <v>65000</v>
      </c>
    </row>
    <row r="19" spans="1:6" x14ac:dyDescent="0.2">
      <c r="A19" s="2">
        <v>46155</v>
      </c>
      <c r="B19" s="3" t="s">
        <v>22</v>
      </c>
      <c r="C19" s="3" t="s">
        <v>9</v>
      </c>
      <c r="D19" s="3" t="s">
        <v>14</v>
      </c>
      <c r="E19" s="3">
        <v>10</v>
      </c>
      <c r="F19" s="4">
        <v>180000</v>
      </c>
    </row>
    <row r="20" spans="1:6" x14ac:dyDescent="0.2">
      <c r="A20" s="2">
        <v>46162</v>
      </c>
      <c r="B20" s="3" t="s">
        <v>22</v>
      </c>
      <c r="C20" s="3" t="s">
        <v>11</v>
      </c>
      <c r="D20" s="3" t="s">
        <v>17</v>
      </c>
      <c r="E20" s="3">
        <v>8</v>
      </c>
      <c r="F20" s="4">
        <v>72000</v>
      </c>
    </row>
    <row r="21" spans="1:6" x14ac:dyDescent="0.2">
      <c r="A21" s="2">
        <v>46169</v>
      </c>
      <c r="B21" s="3" t="s">
        <v>22</v>
      </c>
      <c r="C21" s="3" t="s">
        <v>13</v>
      </c>
      <c r="D21" s="3" t="s">
        <v>10</v>
      </c>
      <c r="E21" s="3">
        <v>30</v>
      </c>
      <c r="F21" s="4">
        <v>75000</v>
      </c>
    </row>
    <row r="22" spans="1:6" x14ac:dyDescent="0.2">
      <c r="A22" s="2">
        <v>46176</v>
      </c>
      <c r="B22" s="3" t="s">
        <v>23</v>
      </c>
      <c r="C22" s="3" t="s">
        <v>7</v>
      </c>
      <c r="D22" s="3" t="s">
        <v>19</v>
      </c>
      <c r="E22" s="3">
        <v>5</v>
      </c>
      <c r="F22" s="4">
        <v>110000</v>
      </c>
    </row>
    <row r="23" spans="1:6" x14ac:dyDescent="0.2">
      <c r="A23" s="2">
        <v>46183</v>
      </c>
      <c r="B23" s="3" t="s">
        <v>23</v>
      </c>
      <c r="C23" s="3" t="s">
        <v>9</v>
      </c>
      <c r="D23" s="3" t="s">
        <v>16</v>
      </c>
      <c r="E23" s="3">
        <v>40</v>
      </c>
      <c r="F23" s="4">
        <v>60000</v>
      </c>
    </row>
    <row r="24" spans="1:6" x14ac:dyDescent="0.2">
      <c r="A24" s="2">
        <v>46190</v>
      </c>
      <c r="B24" s="3" t="s">
        <v>23</v>
      </c>
      <c r="C24" s="3" t="s">
        <v>11</v>
      </c>
      <c r="D24" s="3" t="s">
        <v>12</v>
      </c>
      <c r="E24" s="3">
        <v>5</v>
      </c>
      <c r="F24" s="4">
        <v>60000</v>
      </c>
    </row>
    <row r="25" spans="1:6" x14ac:dyDescent="0.2">
      <c r="A25" s="2">
        <v>46197</v>
      </c>
      <c r="B25" s="3" t="s">
        <v>23</v>
      </c>
      <c r="C25" s="3" t="s">
        <v>13</v>
      </c>
      <c r="D25" s="3" t="s">
        <v>8</v>
      </c>
      <c r="E25" s="3">
        <v>2</v>
      </c>
      <c r="F25" s="4">
        <v>130000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defaultColWidth="8.7421875" defaultRowHeight="15" customHeight="1" x14ac:dyDescent="0.2"/>
  <cols>
    <col min="1" max="1" width="25.01953125" customWidth="1"/>
    <col min="2" max="5" width="27.98046875" customWidth="1"/>
    <col min="6" max="6" width="13.046875" customWidth="1"/>
  </cols>
  <sheetData>
    <row r="1" spans="1:6" x14ac:dyDescent="0.2">
      <c r="A1" s="1" t="s">
        <v>1</v>
      </c>
      <c r="B1" s="1" t="s">
        <v>7</v>
      </c>
      <c r="C1" s="1" t="s">
        <v>9</v>
      </c>
      <c r="D1" s="1" t="s">
        <v>11</v>
      </c>
      <c r="E1" s="1" t="s">
        <v>13</v>
      </c>
      <c r="F1" s="1" t="s">
        <v>24</v>
      </c>
    </row>
    <row r="2" spans="1:6" x14ac:dyDescent="0.2">
      <c r="A2" s="3" t="s">
        <v>6</v>
      </c>
      <c r="B2" s="4">
        <f>SUMPRODUCT(('Pivot Data'!$B$2:$B$25=$A2)*('Pivot Data'!$C$2:$C$25=B$1)*('Pivot Data'!$F$2:$F$25))</f>
        <v>130000</v>
      </c>
      <c r="C2" s="4">
        <f>SUMPRODUCT(('Pivot Data'!$B$2:$B$25=$A2)*('Pivot Data'!$C$2:$C$25=C$1)*('Pivot Data'!$F$2:$F$25))</f>
        <v>25000</v>
      </c>
      <c r="D2" s="4">
        <f>SUMPRODUCT(('Pivot Data'!$B$2:$B$25=$A2)*('Pivot Data'!$C$2:$C$25=D$1)*('Pivot Data'!$F$2:$F$25))</f>
        <v>48000</v>
      </c>
      <c r="E2" s="4">
        <f>SUMPRODUCT(('Pivot Data'!$B$2:$B$25=$A2)*('Pivot Data'!$C$2:$C$25=E$1)*('Pivot Data'!$F$2:$F$25))</f>
        <v>144000</v>
      </c>
      <c r="F2" s="4">
        <f>SUM(B2:E2)</f>
        <v>347000</v>
      </c>
    </row>
    <row r="3" spans="1:6" x14ac:dyDescent="0.2">
      <c r="A3" s="3" t="s">
        <v>15</v>
      </c>
      <c r="B3" s="4">
        <f>SUMPRODUCT(('Pivot Data'!$B$2:$B$25=$A3)*('Pivot Data'!$C$2:$C$25=B$1)*('Pivot Data'!$F$2:$F$25))</f>
        <v>22500</v>
      </c>
      <c r="C3" s="4">
        <f>SUMPRODUCT(('Pivot Data'!$B$2:$B$25=$A3)*('Pivot Data'!$C$2:$C$25=C$1)*('Pivot Data'!$F$2:$F$25))</f>
        <v>45000</v>
      </c>
      <c r="D3" s="4">
        <f>SUMPRODUCT(('Pivot Data'!$B$2:$B$25=$A3)*('Pivot Data'!$C$2:$C$25=D$1)*('Pivot Data'!$F$2:$F$25))</f>
        <v>42000</v>
      </c>
      <c r="E3" s="4">
        <f>SUMPRODUCT(('Pivot Data'!$B$2:$B$25=$A3)*('Pivot Data'!$C$2:$C$25=E$1)*('Pivot Data'!$F$2:$F$25))</f>
        <v>66000</v>
      </c>
      <c r="F3" s="4">
        <f>SUM(B3:E3)</f>
        <v>175500</v>
      </c>
    </row>
    <row r="4" spans="1:6" x14ac:dyDescent="0.2">
      <c r="A4" s="3" t="s">
        <v>20</v>
      </c>
      <c r="B4" s="4">
        <f>SUMPRODUCT(('Pivot Data'!$B$2:$B$25=$A4)*('Pivot Data'!$C$2:$C$25=B$1)*('Pivot Data'!$F$2:$F$25))</f>
        <v>126000</v>
      </c>
      <c r="C4" s="4">
        <f>SUMPRODUCT(('Pivot Data'!$B$2:$B$25=$A4)*('Pivot Data'!$C$2:$C$25=C$1)*('Pivot Data'!$F$2:$F$25))</f>
        <v>195000</v>
      </c>
      <c r="D4" s="4">
        <f>SUMPRODUCT(('Pivot Data'!$B$2:$B$25=$A4)*('Pivot Data'!$C$2:$C$25=D$1)*('Pivot Data'!$F$2:$F$25))</f>
        <v>50000</v>
      </c>
      <c r="E4" s="4">
        <f>SUMPRODUCT(('Pivot Data'!$B$2:$B$25=$A4)*('Pivot Data'!$C$2:$C$25=E$1)*('Pivot Data'!$F$2:$F$25))</f>
        <v>72000</v>
      </c>
      <c r="F4" s="4">
        <f>SUM(B4:E4)</f>
        <v>443000</v>
      </c>
    </row>
    <row r="5" spans="1:6" x14ac:dyDescent="0.2">
      <c r="A5" s="3" t="s">
        <v>21</v>
      </c>
      <c r="B5" s="4">
        <f>SUMPRODUCT(('Pivot Data'!$B$2:$B$25=$A5)*('Pivot Data'!$C$2:$C$25=B$1)*('Pivot Data'!$F$2:$F$25))</f>
        <v>63000</v>
      </c>
      <c r="C5" s="4">
        <f>SUMPRODUCT(('Pivot Data'!$B$2:$B$25=$A5)*('Pivot Data'!$C$2:$C$25=C$1)*('Pivot Data'!$F$2:$F$25))</f>
        <v>88000</v>
      </c>
      <c r="D5" s="4">
        <f>SUMPRODUCT(('Pivot Data'!$B$2:$B$25=$A5)*('Pivot Data'!$C$2:$C$25=D$1)*('Pivot Data'!$F$2:$F$25))</f>
        <v>37500</v>
      </c>
      <c r="E5" s="4">
        <f>SUMPRODUCT(('Pivot Data'!$B$2:$B$25=$A5)*('Pivot Data'!$C$2:$C$25=E$1)*('Pivot Data'!$F$2:$F$25))</f>
        <v>52500</v>
      </c>
      <c r="F5" s="4">
        <f>SUM(B5:E5)</f>
        <v>241000</v>
      </c>
    </row>
    <row r="6" spans="1:6" x14ac:dyDescent="0.2">
      <c r="A6" s="3" t="s">
        <v>22</v>
      </c>
      <c r="B6" s="4">
        <f>SUMPRODUCT(('Pivot Data'!$B$2:$B$25=$A6)*('Pivot Data'!$C$2:$C$25=B$1)*('Pivot Data'!$F$2:$F$25))</f>
        <v>65000</v>
      </c>
      <c r="C6" s="4">
        <f>SUMPRODUCT(('Pivot Data'!$B$2:$B$25=$A6)*('Pivot Data'!$C$2:$C$25=C$1)*('Pivot Data'!$F$2:$F$25))</f>
        <v>180000</v>
      </c>
      <c r="D6" s="4">
        <f>SUMPRODUCT(('Pivot Data'!$B$2:$B$25=$A6)*('Pivot Data'!$C$2:$C$25=D$1)*('Pivot Data'!$F$2:$F$25))</f>
        <v>72000</v>
      </c>
      <c r="E6" s="4">
        <f>SUMPRODUCT(('Pivot Data'!$B$2:$B$25=$A6)*('Pivot Data'!$C$2:$C$25=E$1)*('Pivot Data'!$F$2:$F$25))</f>
        <v>75000</v>
      </c>
      <c r="F6" s="4">
        <f>SUM(B6:E6)</f>
        <v>392000</v>
      </c>
    </row>
    <row r="7" spans="1:6" x14ac:dyDescent="0.2">
      <c r="A7" s="3" t="s">
        <v>23</v>
      </c>
      <c r="B7" s="4">
        <f>SUMPRODUCT(('Pivot Data'!$B$2:$B$25=$A7)*('Pivot Data'!$C$2:$C$25=B$1)*('Pivot Data'!$F$2:$F$25))</f>
        <v>110000</v>
      </c>
      <c r="C7" s="4">
        <f>SUMPRODUCT(('Pivot Data'!$B$2:$B$25=$A7)*('Pivot Data'!$C$2:$C$25=C$1)*('Pivot Data'!$F$2:$F$25))</f>
        <v>60000</v>
      </c>
      <c r="D7" s="4">
        <f>SUMPRODUCT(('Pivot Data'!$B$2:$B$25=$A7)*('Pivot Data'!$C$2:$C$25=D$1)*('Pivot Data'!$F$2:$F$25))</f>
        <v>60000</v>
      </c>
      <c r="E7" s="4">
        <f>SUMPRODUCT(('Pivot Data'!$B$2:$B$25=$A7)*('Pivot Data'!$C$2:$C$25=E$1)*('Pivot Data'!$F$2:$F$25))</f>
        <v>130000</v>
      </c>
      <c r="F7" s="4">
        <f>SUM(B7:E7)</f>
        <v>360000</v>
      </c>
    </row>
    <row r="9" spans="1:6" x14ac:dyDescent="0.2">
      <c r="A9" s="5" t="s">
        <v>25</v>
      </c>
      <c r="B9" s="6">
        <f>SUM(B2:B7)</f>
        <v>516500</v>
      </c>
      <c r="C9" s="6">
        <f>SUM(C2:C7)</f>
        <v>593000</v>
      </c>
      <c r="D9" s="6">
        <f>SUM(D2:D7)</f>
        <v>309500</v>
      </c>
      <c r="E9" s="6">
        <f>SUM(E2:E7)</f>
        <v>539500</v>
      </c>
      <c r="F9" s="6">
        <f>SUM(F2:F7)</f>
        <v>1958500</v>
      </c>
    </row>
    <row r="11" spans="1:6" x14ac:dyDescent="0.2">
      <c r="A11" t="s">
        <v>26</v>
      </c>
      <c r="B11" t="str">
        <f>INDEX(A2:A7,MATCH(MAX(F2:F7),F2:F7,0))</f>
        <v>Mar</v>
      </c>
    </row>
    <row r="12" spans="1:6" x14ac:dyDescent="0.2">
      <c r="A12" t="s">
        <v>27</v>
      </c>
      <c r="B12" s="7">
        <f>AVERAGE(F2:F7)</f>
        <v>326416.66666666669</v>
      </c>
    </row>
  </sheetData>
  <conditionalFormatting sqref="F2:F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Data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2026-09-30T09:08:31Z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2026-09-21T17:45:06Z</dcterms:created>
  <dc:creator>openpyxl</dc:creator>
  <dc:description/>
  <dc:language>en-US</dc:language>
  <cp:lastModifiedBy/>
  <dcterms:modified xsi:type="dcterms:W3CDTF">2026-09-21T17:45:06Z</dcterms:modified>
  <cp:revision>0</cp:revision>
  <dc:subject/>
  <dc:title/>
</cp:coreProperties>
</file>