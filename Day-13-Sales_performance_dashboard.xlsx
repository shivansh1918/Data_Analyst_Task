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5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kunal\Downloads\"/>
    </mc:Choice>
  </mc:AlternateContent>
  <xr:revisionPtr revIDLastSave="0" documentId="13_ncr:1_{29AB85DF-F670-4EE5-86FC-FABDFC7E41AB}" xr6:coauthVersionLast="47" xr6:coauthVersionMax="47" xr10:uidLastSave="{00000000-0000-0000-0000-000000000000}"/>
  <bookViews>
    <workbookView xWindow="-108" yWindow="-108" windowWidth="23256" windowHeight="13176" activeTab="6" xr2:uid="{1E06A093-431F-465C-BB5A-4615237E2D65}"/>
  </bookViews>
  <sheets>
    <sheet name="Sheet1" sheetId="1" r:id="rId1"/>
    <sheet name="Sheet2" sheetId="3" r:id="rId2"/>
    <sheet name="sheet3" sheetId="4" r:id="rId3"/>
    <sheet name="Sheet4" sheetId="5" r:id="rId4"/>
    <sheet name="Sheet5" sheetId="6" r:id="rId5"/>
    <sheet name="Sheet6" sheetId="7" r:id="rId6"/>
    <sheet name="Dashboard" sheetId="8" r:id="rId7"/>
  </sheets>
  <calcPr calcId="191029"/>
  <pivotCaches>
    <pivotCache cacheId="0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2" i="1"/>
</calcChain>
</file>

<file path=xl/sharedStrings.xml><?xml version="1.0" encoding="utf-8"?>
<sst xmlns="http://schemas.openxmlformats.org/spreadsheetml/2006/main" count="84" uniqueCount="32">
  <si>
    <t xml:space="preserve">Order id </t>
  </si>
  <si>
    <t>Date</t>
  </si>
  <si>
    <t>Salesman</t>
  </si>
  <si>
    <t>Region</t>
  </si>
  <si>
    <t>Product</t>
  </si>
  <si>
    <t>Qty</t>
  </si>
  <si>
    <t>Unit price</t>
  </si>
  <si>
    <t>Total sale</t>
  </si>
  <si>
    <t>Rahul</t>
  </si>
  <si>
    <t>Amit</t>
  </si>
  <si>
    <t>Shivansh</t>
  </si>
  <si>
    <t>Kunal</t>
  </si>
  <si>
    <t>vaibhav</t>
  </si>
  <si>
    <t>Prateek</t>
  </si>
  <si>
    <t>Anmol</t>
  </si>
  <si>
    <t>Ansh</t>
  </si>
  <si>
    <t>Kabir</t>
  </si>
  <si>
    <t>Soham</t>
  </si>
  <si>
    <t>uttar pradesh</t>
  </si>
  <si>
    <t>delhi</t>
  </si>
  <si>
    <t>bihar</t>
  </si>
  <si>
    <t>rajasthan</t>
  </si>
  <si>
    <t>laptop</t>
  </si>
  <si>
    <t>mouse</t>
  </si>
  <si>
    <t>keyboard</t>
  </si>
  <si>
    <t>monitor</t>
  </si>
  <si>
    <t>printer</t>
  </si>
  <si>
    <t>Row Labels</t>
  </si>
  <si>
    <t>Grand Total</t>
  </si>
  <si>
    <t>Sum of Total sale</t>
  </si>
  <si>
    <t>Column Labels</t>
  </si>
  <si>
    <t>Sales Performance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</si>
</sst>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1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5" fontId="0" fillId="0" borderId="0" xfId="0" applyNumberFormat="1" applyAlignment="1">
      <alignment horizontal="left"/>
    </xf>
    <xf numFmtId="0" fontId="2" fillId="3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/>
  </cellXfs>
  <cellStyles count="1">
    <cellStyle name="Normal" xfId="0" builtinId="0"/>
  </cellStyles>
  <dxfs count="2">
    <dxf>
      <numFmt numFmtId="20" formatCode="d\-mmm\-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theme="6" tint="0.399975585192419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[Sales_performance_dashboard.xlsx]Sheet5!PivotTable5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trendline>
            <c:spPr>
              <a:ln w="19050" cap="rnd">
                <a:solidFill>
                  <a:schemeClr val="accent1"/>
                </a:solidFill>
              </a:ln>
              <a:effectLst/>
            </c:spPr>
            <c:trendlineType val="linear"/>
            <c:dispRSqr val="0"/>
            <c:dispEq val="0"/>
          </c:trendline>
          <c:cat>
            <c:strRef>
              <c:f>Sheet5!$A$4:$A$14</c:f>
              <c:strCache>
                <c:ptCount val="10"/>
                <c:pt idx="0">
                  <c:v>Amit</c:v>
                </c:pt>
                <c:pt idx="1">
                  <c:v>Anmol</c:v>
                </c:pt>
                <c:pt idx="2">
                  <c:v>Ansh</c:v>
                </c:pt>
                <c:pt idx="3">
                  <c:v>Kabir</c:v>
                </c:pt>
                <c:pt idx="4">
                  <c:v>Kunal</c:v>
                </c:pt>
                <c:pt idx="5">
                  <c:v>Prateek</c:v>
                </c:pt>
                <c:pt idx="6">
                  <c:v>Rahul</c:v>
                </c:pt>
                <c:pt idx="7">
                  <c:v>Shivansh</c:v>
                </c:pt>
                <c:pt idx="8">
                  <c:v>Soham</c:v>
                </c:pt>
                <c:pt idx="9">
                  <c:v>vaibhav</c:v>
                </c:pt>
              </c:strCache>
            </c:strRef>
          </c:cat>
          <c:val>
            <c:numRef>
              <c:f>Sheet5!$B$4:$B$14</c:f>
              <c:numCache>
                <c:formatCode>General</c:formatCode>
                <c:ptCount val="10"/>
                <c:pt idx="0">
                  <c:v>225000</c:v>
                </c:pt>
                <c:pt idx="1">
                  <c:v>10800</c:v>
                </c:pt>
                <c:pt idx="2">
                  <c:v>315000</c:v>
                </c:pt>
                <c:pt idx="3">
                  <c:v>360000</c:v>
                </c:pt>
                <c:pt idx="4">
                  <c:v>48000</c:v>
                </c:pt>
                <c:pt idx="5">
                  <c:v>1750</c:v>
                </c:pt>
                <c:pt idx="6">
                  <c:v>3500</c:v>
                </c:pt>
                <c:pt idx="7">
                  <c:v>3600</c:v>
                </c:pt>
                <c:pt idx="8">
                  <c:v>7200</c:v>
                </c:pt>
                <c:pt idx="9">
                  <c:v>2400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AD-46D5-8B83-4D604FB06D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19335039"/>
        <c:axId val="97597487"/>
      </c:barChart>
      <c:catAx>
        <c:axId val="1193350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597487"/>
        <c:crosses val="autoZero"/>
        <c:auto val="1"/>
        <c:lblAlgn val="ctr"/>
        <c:lblOffset val="100"/>
        <c:noMultiLvlLbl val="0"/>
      </c:catAx>
      <c:valAx>
        <c:axId val="975974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3350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[Sales_performance_dashboard.xlsx]Sheet2!PivotTable2</c:name>
    <c:fmtId val="8"/>
  </c:pivotSource>
  <c:chart>
    <c:title>
      <c:layout>
        <c:manualLayout>
          <c:xMode val="edge"/>
          <c:yMode val="edge"/>
          <c:x val="0.44534011373578303"/>
          <c:y val="0.1219462951746416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Sheet2!$A$4:$A$8</c:f>
              <c:strCache>
                <c:ptCount val="4"/>
                <c:pt idx="0">
                  <c:v>bihar</c:v>
                </c:pt>
                <c:pt idx="1">
                  <c:v>delhi</c:v>
                </c:pt>
                <c:pt idx="2">
                  <c:v>rajasthan</c:v>
                </c:pt>
                <c:pt idx="3">
                  <c:v>uttar pradesh</c:v>
                </c:pt>
              </c:strCache>
            </c:strRef>
          </c:cat>
          <c:val>
            <c:numRef>
              <c:f>Sheet2!$B$4:$B$8</c:f>
              <c:numCache>
                <c:formatCode>General</c:formatCode>
                <c:ptCount val="4"/>
                <c:pt idx="0">
                  <c:v>408000</c:v>
                </c:pt>
                <c:pt idx="1">
                  <c:v>320900</c:v>
                </c:pt>
                <c:pt idx="2">
                  <c:v>8950</c:v>
                </c:pt>
                <c:pt idx="3">
                  <c:v>239400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A9-4F49-A6B2-D47097D75C0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2129861679"/>
        <c:axId val="1546316719"/>
      </c:barChart>
      <c:catAx>
        <c:axId val="21298616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6316719"/>
        <c:crosses val="autoZero"/>
        <c:auto val="1"/>
        <c:lblAlgn val="ctr"/>
        <c:lblOffset val="100"/>
        <c:noMultiLvlLbl val="0"/>
      </c:catAx>
      <c:valAx>
        <c:axId val="1546316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986167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[Sales_performance_dashboard.xlsx]sheet3!PivotTable3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>
        <c:manualLayout>
          <c:layoutTarget val="inner"/>
          <c:xMode val="edge"/>
          <c:yMode val="edge"/>
          <c:x val="8.9983325166843292E-2"/>
          <c:y val="0.30297094670096936"/>
          <c:w val="0.7001910578833217"/>
          <c:h val="0.60985648761726563"/>
        </c:manualLayout>
      </c:layout>
      <c:ofPieChart>
        <c:ofPieType val="bar"/>
        <c:varyColors val="1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FC63-4C19-B59C-FC443FF5A9A9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FC63-4C19-B59C-FC443FF5A9A9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FC63-4C19-B59C-FC443FF5A9A9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FC63-4C19-B59C-FC443FF5A9A9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FC63-4C19-B59C-FC443FF5A9A9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FC63-4C19-B59C-FC443FF5A9A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sheet3!$A$4:$A$9</c:f>
              <c:strCache>
                <c:ptCount val="5"/>
                <c:pt idx="0">
                  <c:v>keyboard</c:v>
                </c:pt>
                <c:pt idx="1">
                  <c:v>laptop</c:v>
                </c:pt>
                <c:pt idx="2">
                  <c:v>monitor</c:v>
                </c:pt>
                <c:pt idx="3">
                  <c:v>mouse</c:v>
                </c:pt>
                <c:pt idx="4">
                  <c:v>printer</c:v>
                </c:pt>
              </c:strCache>
            </c:strRef>
          </c:cat>
          <c:val>
            <c:numRef>
              <c:f>sheet3!$B$4:$B$9</c:f>
              <c:numCache>
                <c:formatCode>General</c:formatCode>
                <c:ptCount val="5"/>
                <c:pt idx="0">
                  <c:v>14400</c:v>
                </c:pt>
                <c:pt idx="1">
                  <c:v>900000</c:v>
                </c:pt>
                <c:pt idx="2">
                  <c:v>48000</c:v>
                </c:pt>
                <c:pt idx="3">
                  <c:v>5250</c:v>
                </c:pt>
                <c:pt idx="4">
                  <c:v>9600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FC63-4C19-B59C-FC443FF5A9A9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gapWidth val="100"/>
        <c:secondPieSize val="75"/>
        <c:serLines>
          <c:spPr>
            <a:ln w="9525" cap="flat" cmpd="sng" algn="ctr">
              <a:solidFill>
                <a:schemeClr val="lt1">
                  <a:lumMod val="95000"/>
                  <a:alpha val="54000"/>
                </a:schemeClr>
              </a:solidFill>
              <a:round/>
            </a:ln>
            <a:effectLst/>
          </c:spPr>
        </c:serLines>
      </c:of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[Sales_performance_dashboard.xlsx]Sheet4!PivotTable4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diamond"/>
          <c:size val="5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5373593775054648"/>
          <c:y val="0.21785070311333035"/>
          <c:w val="0.68817188647239036"/>
          <c:h val="0.7205020485244222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trendline>
            <c:spPr>
              <a:ln w="19050" cap="rnd">
                <a:solidFill>
                  <a:schemeClr val="accent1"/>
                </a:solidFill>
              </a:ln>
              <a:effectLst/>
            </c:spPr>
            <c:trendlineType val="linear"/>
            <c:dispRSqr val="0"/>
            <c:dispEq val="0"/>
          </c:trendline>
          <c:errBars>
            <c:errBarType val="both"/>
            <c:errValType val="stdErr"/>
            <c:noEndCap val="0"/>
          </c:errBars>
          <c:cat>
            <c:strRef>
              <c:f>Sheet4!$A$4:$A$14</c:f>
              <c:strCache>
                <c:ptCount val="10"/>
                <c:pt idx="0">
                  <c:v>1-Sep-26</c:v>
                </c:pt>
                <c:pt idx="1">
                  <c:v>2-Sep-26</c:v>
                </c:pt>
                <c:pt idx="2">
                  <c:v>3-Sep-26</c:v>
                </c:pt>
                <c:pt idx="3">
                  <c:v>4-Sep-26</c:v>
                </c:pt>
                <c:pt idx="4">
                  <c:v>5-Sep-26</c:v>
                </c:pt>
                <c:pt idx="5">
                  <c:v>6-Sep-26</c:v>
                </c:pt>
                <c:pt idx="6">
                  <c:v>7-Sep-26</c:v>
                </c:pt>
                <c:pt idx="7">
                  <c:v>8-Sep-26</c:v>
                </c:pt>
                <c:pt idx="8">
                  <c:v>9-Sep-26</c:v>
                </c:pt>
                <c:pt idx="9">
                  <c:v>10-Sep-26</c:v>
                </c:pt>
              </c:strCache>
            </c:strRef>
          </c:cat>
          <c:val>
            <c:numRef>
              <c:f>Sheet4!$B$4:$B$14</c:f>
              <c:numCache>
                <c:formatCode>General</c:formatCode>
                <c:ptCount val="10"/>
                <c:pt idx="0">
                  <c:v>225000</c:v>
                </c:pt>
                <c:pt idx="1">
                  <c:v>3500</c:v>
                </c:pt>
                <c:pt idx="2">
                  <c:v>3600</c:v>
                </c:pt>
                <c:pt idx="3">
                  <c:v>48000</c:v>
                </c:pt>
                <c:pt idx="4">
                  <c:v>2400</c:v>
                </c:pt>
                <c:pt idx="5">
                  <c:v>1750</c:v>
                </c:pt>
                <c:pt idx="6">
                  <c:v>10800</c:v>
                </c:pt>
                <c:pt idx="7">
                  <c:v>315000</c:v>
                </c:pt>
                <c:pt idx="8">
                  <c:v>360000</c:v>
                </c:pt>
                <c:pt idx="9">
                  <c:v>7200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C5E-4BFD-8BC4-DE76E87469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19335039"/>
        <c:axId val="97597487"/>
      </c:barChart>
      <c:catAx>
        <c:axId val="1193350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597487"/>
        <c:crosses val="autoZero"/>
        <c:auto val="1"/>
        <c:lblAlgn val="ctr"/>
        <c:lblOffset val="100"/>
        <c:noMultiLvlLbl val="0"/>
      </c:catAx>
      <c:valAx>
        <c:axId val="975974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3350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[Sales_performance_dashboard.xlsx]Sheet6!PivotTable6</c:name>
    <c:fmtId val="12"/>
  </c:pivotSource>
  <c:chart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pattFill prst="narHorz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2"/>
            </a:innerShdw>
          </a:effectLst>
        </c:spPr>
        <c:marker>
          <c:symbol val="circle"/>
          <c:size val="6"/>
          <c:spPr>
            <a:solidFill>
              <a:schemeClr val="accent2">
                <a:shade val="76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pattFill prst="narHorz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2"/>
            </a:innerShdw>
          </a:effectLst>
        </c:spPr>
        <c:marker>
          <c:symbol val="circle"/>
          <c:size val="6"/>
          <c:spPr>
            <a:solidFill>
              <a:schemeClr val="accent2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pattFill prst="narHorz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2"/>
            </a:innerShdw>
          </a:effectLst>
        </c:spPr>
        <c:marker>
          <c:symbol val="circle"/>
          <c:size val="6"/>
          <c:spPr>
            <a:solidFill>
              <a:schemeClr val="accent2">
                <a:tint val="77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pattFill prst="narHorz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2"/>
            </a:innerShdw>
          </a:effectLst>
        </c:spPr>
        <c:marker>
          <c:symbol val="circle"/>
          <c:size val="6"/>
          <c:spPr>
            <a:solidFill>
              <a:schemeClr val="accent2">
                <a:tint val="54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pattFill prst="narHorz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2"/>
            </a:innerShdw>
          </a:effectLst>
        </c:spPr>
        <c:marker>
          <c:symbol val="circle"/>
          <c:size val="6"/>
          <c:spPr>
            <a:solidFill>
              <a:schemeClr val="accent2">
                <a:shade val="53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pattFill prst="narHorz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2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pattFill prst="narHorz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2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pattFill prst="narHorz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2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pattFill prst="narHorz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2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pattFill prst="narHorz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2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pattFill prst="narHorz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2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pattFill prst="narHorz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2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pattFill prst="narHorz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2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pattFill prst="narHorz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2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pattFill prst="narHorz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2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017373517965427"/>
          <c:y val="0.13901337178531695"/>
          <c:w val="0.6791210994459026"/>
          <c:h val="0.5652668416447943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Sheet6!$B$3:$B$4</c:f>
              <c:strCache>
                <c:ptCount val="1"/>
                <c:pt idx="0">
                  <c:v>keyboard</c:v>
                </c:pt>
              </c:strCache>
            </c:strRef>
          </c:tx>
          <c:spPr>
            <a:pattFill prst="narHorz">
              <a:fgClr>
                <a:schemeClr val="accent2">
                  <a:shade val="53000"/>
                </a:schemeClr>
              </a:fgClr>
              <a:bgClr>
                <a:schemeClr val="accent2">
                  <a:shade val="53000"/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2">
                  <a:shade val="53000"/>
                </a:schemeClr>
              </a:innerShdw>
            </a:effectLst>
          </c:spPr>
          <c:invertIfNegative val="0"/>
          <c:cat>
            <c:strRef>
              <c:f>Sheet6!$A$5:$A$9</c:f>
              <c:strCache>
                <c:ptCount val="4"/>
                <c:pt idx="0">
                  <c:v>bihar</c:v>
                </c:pt>
                <c:pt idx="1">
                  <c:v>delhi</c:v>
                </c:pt>
                <c:pt idx="2">
                  <c:v>rajasthan</c:v>
                </c:pt>
                <c:pt idx="3">
                  <c:v>uttar pradesh</c:v>
                </c:pt>
              </c:strCache>
            </c:strRef>
          </c:cat>
          <c:val>
            <c:numRef>
              <c:f>Sheet6!$B$5:$B$9</c:f>
              <c:numCache>
                <c:formatCode>General</c:formatCode>
                <c:ptCount val="4"/>
                <c:pt idx="3">
                  <c:v>14400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22-41F8-A119-82AA35FA6DF5}"/>
            </c:ext>
          </c:extLst>
        </c:ser>
        <c:ser>
          <c:idx val="1"/>
          <c:order val="1"/>
          <c:tx>
            <c:strRef>
              <c:f>Sheet6!$C$3:$C$4</c:f>
              <c:strCache>
                <c:ptCount val="1"/>
                <c:pt idx="0">
                  <c:v>laptop</c:v>
                </c:pt>
              </c:strCache>
            </c:strRef>
          </c:tx>
          <c:spPr>
            <a:pattFill prst="narHorz">
              <a:fgClr>
                <a:schemeClr val="accent2">
                  <a:shade val="76000"/>
                </a:schemeClr>
              </a:fgClr>
              <a:bgClr>
                <a:schemeClr val="accent2">
                  <a:shade val="76000"/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2">
                  <a:shade val="76000"/>
                </a:schemeClr>
              </a:innerShdw>
            </a:effectLst>
          </c:spPr>
          <c:invertIfNegative val="0"/>
          <c:cat>
            <c:strRef>
              <c:f>Sheet6!$A$5:$A$9</c:f>
              <c:strCache>
                <c:ptCount val="4"/>
                <c:pt idx="0">
                  <c:v>bihar</c:v>
                </c:pt>
                <c:pt idx="1">
                  <c:v>delhi</c:v>
                </c:pt>
                <c:pt idx="2">
                  <c:v>rajasthan</c:v>
                </c:pt>
                <c:pt idx="3">
                  <c:v>uttar pradesh</c:v>
                </c:pt>
              </c:strCache>
            </c:strRef>
          </c:cat>
          <c:val>
            <c:numRef>
              <c:f>Sheet6!$C$5:$C$9</c:f>
              <c:numCache>
                <c:formatCode>General</c:formatCode>
                <c:ptCount val="4"/>
                <c:pt idx="0">
                  <c:v>360000</c:v>
                </c:pt>
                <c:pt idx="1">
                  <c:v>315000</c:v>
                </c:pt>
                <c:pt idx="3">
                  <c:v>225000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A22-41F8-A119-82AA35FA6DF5}"/>
            </c:ext>
          </c:extLst>
        </c:ser>
        <c:ser>
          <c:idx val="2"/>
          <c:order val="2"/>
          <c:tx>
            <c:strRef>
              <c:f>Sheet6!$D$3:$D$4</c:f>
              <c:strCache>
                <c:ptCount val="1"/>
                <c:pt idx="0">
                  <c:v>monitor</c:v>
                </c:pt>
              </c:strCache>
            </c:strRef>
          </c:tx>
          <c:spPr>
            <a:pattFill prst="narHorz">
              <a:fgClr>
                <a:schemeClr val="accent2"/>
              </a:fgClr>
              <a:bgClr>
                <a:schemeClr val="accent2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2"/>
              </a:innerShdw>
            </a:effectLst>
          </c:spPr>
          <c:invertIfNegative val="0"/>
          <c:cat>
            <c:strRef>
              <c:f>Sheet6!$A$5:$A$9</c:f>
              <c:strCache>
                <c:ptCount val="4"/>
                <c:pt idx="0">
                  <c:v>bihar</c:v>
                </c:pt>
                <c:pt idx="1">
                  <c:v>delhi</c:v>
                </c:pt>
                <c:pt idx="2">
                  <c:v>rajasthan</c:v>
                </c:pt>
                <c:pt idx="3">
                  <c:v>uttar pradesh</c:v>
                </c:pt>
              </c:strCache>
            </c:strRef>
          </c:cat>
          <c:val>
            <c:numRef>
              <c:f>Sheet6!$D$5:$D$9</c:f>
              <c:numCache>
                <c:formatCode>General</c:formatCode>
                <c:ptCount val="4"/>
                <c:pt idx="0">
                  <c:v>48000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A22-41F8-A119-82AA35FA6DF5}"/>
            </c:ext>
          </c:extLst>
        </c:ser>
        <c:ser>
          <c:idx val="3"/>
          <c:order val="3"/>
          <c:tx>
            <c:strRef>
              <c:f>Sheet6!$E$3:$E$4</c:f>
              <c:strCache>
                <c:ptCount val="1"/>
                <c:pt idx="0">
                  <c:v>mouse</c:v>
                </c:pt>
              </c:strCache>
            </c:strRef>
          </c:tx>
          <c:spPr>
            <a:pattFill prst="narHorz">
              <a:fgClr>
                <a:schemeClr val="accent2">
                  <a:tint val="77000"/>
                </a:schemeClr>
              </a:fgClr>
              <a:bgClr>
                <a:schemeClr val="accent2">
                  <a:tint val="77000"/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2">
                  <a:tint val="77000"/>
                </a:schemeClr>
              </a:innerShdw>
            </a:effectLst>
          </c:spPr>
          <c:invertIfNegative val="0"/>
          <c:cat>
            <c:strRef>
              <c:f>Sheet6!$A$5:$A$9</c:f>
              <c:strCache>
                <c:ptCount val="4"/>
                <c:pt idx="0">
                  <c:v>bihar</c:v>
                </c:pt>
                <c:pt idx="1">
                  <c:v>delhi</c:v>
                </c:pt>
                <c:pt idx="2">
                  <c:v>rajasthan</c:v>
                </c:pt>
                <c:pt idx="3">
                  <c:v>uttar pradesh</c:v>
                </c:pt>
              </c:strCache>
            </c:strRef>
          </c:cat>
          <c:val>
            <c:numRef>
              <c:f>Sheet6!$E$5:$E$9</c:f>
              <c:numCache>
                <c:formatCode>General</c:formatCode>
                <c:ptCount val="4"/>
                <c:pt idx="1">
                  <c:v>3500</c:v>
                </c:pt>
                <c:pt idx="2">
                  <c:v>1750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A22-41F8-A119-82AA35FA6DF5}"/>
            </c:ext>
          </c:extLst>
        </c:ser>
        <c:ser>
          <c:idx val="4"/>
          <c:order val="4"/>
          <c:tx>
            <c:strRef>
              <c:f>Sheet6!$F$3:$F$4</c:f>
              <c:strCache>
                <c:ptCount val="1"/>
                <c:pt idx="0">
                  <c:v>printer</c:v>
                </c:pt>
              </c:strCache>
            </c:strRef>
          </c:tx>
          <c:spPr>
            <a:pattFill prst="narHorz">
              <a:fgClr>
                <a:schemeClr val="accent2">
                  <a:tint val="54000"/>
                </a:schemeClr>
              </a:fgClr>
              <a:bgClr>
                <a:schemeClr val="accent2">
                  <a:tint val="54000"/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2">
                  <a:tint val="54000"/>
                </a:schemeClr>
              </a:innerShdw>
            </a:effectLst>
          </c:spPr>
          <c:invertIfNegative val="0"/>
          <c:cat>
            <c:strRef>
              <c:f>Sheet6!$A$5:$A$9</c:f>
              <c:strCache>
                <c:ptCount val="4"/>
                <c:pt idx="0">
                  <c:v>bihar</c:v>
                </c:pt>
                <c:pt idx="1">
                  <c:v>delhi</c:v>
                </c:pt>
                <c:pt idx="2">
                  <c:v>rajasthan</c:v>
                </c:pt>
                <c:pt idx="3">
                  <c:v>uttar pradesh</c:v>
                </c:pt>
              </c:strCache>
            </c:strRef>
          </c:cat>
          <c:val>
            <c:numRef>
              <c:f>Sheet6!$F$5:$F$9</c:f>
              <c:numCache>
                <c:formatCode>General</c:formatCode>
                <c:ptCount val="4"/>
                <c:pt idx="1">
                  <c:v>2400</c:v>
                </c:pt>
                <c:pt idx="2">
                  <c:v>7200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A22-41F8-A119-82AA35FA6D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144375023"/>
        <c:axId val="97647887"/>
      </c:barChart>
      <c:catAx>
        <c:axId val="21443750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647887"/>
        <c:crosses val="autoZero"/>
        <c:auto val="1"/>
        <c:lblAlgn val="ctr"/>
        <c:lblOffset val="100"/>
        <c:noMultiLvlLbl val="0"/>
      </c:catAx>
      <c:valAx>
        <c:axId val="97647887"/>
        <c:scaling>
          <c:orientation val="minMax"/>
        </c:scaling>
        <c:delete val="0"/>
        <c:axPos val="l"/>
        <c:majorGridlines>
          <c:spPr>
            <a:ln>
              <a:solidFill>
                <a:schemeClr val="tx1">
                  <a:lumMod val="15000"/>
                  <a:lumOff val="85000"/>
                </a:schemeClr>
              </a:solidFill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437502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style1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3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9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pattFill prst="ltDn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>
        <a:solidFill>
          <a:schemeClr val="phClr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458470</xdr:colOff>
      <xdr:row>1</xdr:row>
      <xdr:rowOff>49530</xdr:rowOff>
    </xdr:from>
    <xdr:to>
      <xdr:col>11</xdr:col>
      <xdr:colOff>290830</xdr:colOff>
      <xdr:row>16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E36DDC8-94A7-1974-3C4B-46DA3FF3AA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320040</xdr:colOff>
      <xdr:row>3</xdr:row>
      <xdr:rowOff>160020</xdr:rowOff>
    </xdr:from>
    <xdr:to>
      <xdr:col>10</xdr:col>
      <xdr:colOff>213360</xdr:colOff>
      <xdr:row>20</xdr:row>
      <xdr:rowOff>129540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AA4748-1672-4678-9EF4-179BE00A83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259080</xdr:colOff>
      <xdr:row>4</xdr:row>
      <xdr:rowOff>0</xdr:rowOff>
    </xdr:from>
    <xdr:to>
      <xdr:col>19</xdr:col>
      <xdr:colOff>38100</xdr:colOff>
      <xdr:row>20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98BA7B8-3BA3-455D-9266-3E8100B269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320040</xdr:colOff>
      <xdr:row>20</xdr:row>
      <xdr:rowOff>152400</xdr:rowOff>
    </xdr:from>
    <xdr:to>
      <xdr:col>10</xdr:col>
      <xdr:colOff>182880</xdr:colOff>
      <xdr:row>41</xdr:row>
      <xdr:rowOff>106680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C904A9E-4015-4F10-878D-6D767B2745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274320</xdr:colOff>
      <xdr:row>20</xdr:row>
      <xdr:rowOff>175260</xdr:rowOff>
    </xdr:from>
    <xdr:to>
      <xdr:col>18</xdr:col>
      <xdr:colOff>586740</xdr:colOff>
      <xdr:row>41</xdr:row>
      <xdr:rowOff>91440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FA563B3-33E6-4348-8AAF-FDD3AE1B6C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ivansh vashishth" refreshedDate="46280.891882523145" createdVersion="8" refreshedVersion="8" minRefreshableVersion="3" recordCount="10" xr:uid="{971D9F6D-99BF-4D07-A7B3-12E7FF69C676}">
  <cacheSource type="worksheet">
    <worksheetSource name="Table1"/>
  </cacheSource>
  <cacheFields count="8">
    <cacheField name="Order id " numFmtId="0">
      <sharedItems containsSemiMixedTypes="0" containsString="0" containsNumber="1" containsInteger="1" minValue="101" maxValue="110"/>
    </cacheField>
    <cacheField name="Date" numFmtId="15">
      <sharedItems containsSemiMixedTypes="0" containsNonDate="0" containsDate="1" containsString="0" minDate="2026-09-01T00:00:00" maxDate="2026-09-11T00:00:00" count="10">
        <d v="2026-09-01T00:00:00"/>
        <d v="2026-09-02T00:00:00"/>
        <d v="2026-09-03T00:00:00"/>
        <d v="2026-09-04T00:00:00"/>
        <d v="2026-09-05T00:00:00"/>
        <d v="2026-09-06T00:00:00"/>
        <d v="2026-09-07T00:00:00"/>
        <d v="2026-09-08T00:00:00"/>
        <d v="2026-09-09T00:00:00"/>
        <d v="2026-09-10T00:00:00"/>
      </sharedItems>
    </cacheField>
    <cacheField name="Salesman" numFmtId="0">
      <sharedItems count="10">
        <s v="Amit"/>
        <s v="Rahul"/>
        <s v="Shivansh"/>
        <s v="Kunal"/>
        <s v="vaibhav"/>
        <s v="Prateek"/>
        <s v="Anmol"/>
        <s v="Ansh"/>
        <s v="Kabir"/>
        <s v="Soham"/>
      </sharedItems>
    </cacheField>
    <cacheField name="Region" numFmtId="0">
      <sharedItems count="4">
        <s v="uttar pradesh"/>
        <s v="delhi"/>
        <s v="bihar"/>
        <s v="rajasthan"/>
      </sharedItems>
    </cacheField>
    <cacheField name="Product" numFmtId="0">
      <sharedItems count="5">
        <s v="laptop"/>
        <s v="mouse"/>
        <s v="keyboard"/>
        <s v="monitor"/>
        <s v="printer"/>
      </sharedItems>
    </cacheField>
    <cacheField name="Qty" numFmtId="0">
      <sharedItems containsSemiMixedTypes="0" containsString="0" containsNumber="1" containsInteger="1" minValue="2" maxValue="10"/>
    </cacheField>
    <cacheField name="Unit price" numFmtId="0">
      <sharedItems containsSemiMixedTypes="0" containsString="0" containsNumber="1" containsInteger="1" minValue="350" maxValue="45000"/>
    </cacheField>
    <cacheField name="Total sale" numFmtId="0">
      <sharedItems containsSemiMixedTypes="0" containsString="0" containsNumber="1" containsInteger="1" minValue="1750" maxValue="36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n v="101"/>
    <x v="0"/>
    <x v="0"/>
    <x v="0"/>
    <x v="0"/>
    <n v="5"/>
    <n v="45000"/>
    <n v="225000"/>
  </r>
  <r>
    <n v="102"/>
    <x v="1"/>
    <x v="1"/>
    <x v="1"/>
    <x v="1"/>
    <n v="10"/>
    <n v="350"/>
    <n v="3500"/>
  </r>
  <r>
    <n v="103"/>
    <x v="2"/>
    <x v="2"/>
    <x v="0"/>
    <x v="2"/>
    <n v="3"/>
    <n v="1200"/>
    <n v="3600"/>
  </r>
  <r>
    <n v="104"/>
    <x v="3"/>
    <x v="3"/>
    <x v="2"/>
    <x v="3"/>
    <n v="4"/>
    <n v="12000"/>
    <n v="48000"/>
  </r>
  <r>
    <n v="105"/>
    <x v="4"/>
    <x v="4"/>
    <x v="1"/>
    <x v="4"/>
    <n v="2"/>
    <n v="1200"/>
    <n v="2400"/>
  </r>
  <r>
    <n v="106"/>
    <x v="5"/>
    <x v="5"/>
    <x v="3"/>
    <x v="1"/>
    <n v="5"/>
    <n v="350"/>
    <n v="1750"/>
  </r>
  <r>
    <n v="107"/>
    <x v="6"/>
    <x v="6"/>
    <x v="0"/>
    <x v="2"/>
    <n v="9"/>
    <n v="1200"/>
    <n v="10800"/>
  </r>
  <r>
    <n v="108"/>
    <x v="7"/>
    <x v="7"/>
    <x v="1"/>
    <x v="0"/>
    <n v="7"/>
    <n v="45000"/>
    <n v="315000"/>
  </r>
  <r>
    <n v="109"/>
    <x v="8"/>
    <x v="8"/>
    <x v="2"/>
    <x v="0"/>
    <n v="8"/>
    <n v="45000"/>
    <n v="360000"/>
  </r>
  <r>
    <n v="110"/>
    <x v="9"/>
    <x v="9"/>
    <x v="3"/>
    <x v="4"/>
    <n v="6"/>
    <n v="1200"/>
    <n v="72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777E6C-6B71-4B3B-B719-D55AD861C9EC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3:B8" firstHeaderRow="1" firstDataRow="1" firstDataCol="1"/>
  <pivotFields count="8">
    <pivotField showAll="0"/>
    <pivotField numFmtId="15" showAll="0"/>
    <pivotField showAll="0"/>
    <pivotField axis="axisRow" showAll="0">
      <items count="5">
        <item x="2"/>
        <item x="1"/>
        <item x="3"/>
        <item x="0"/>
        <item t="default"/>
      </items>
    </pivotField>
    <pivotField showAll="0"/>
    <pivotField showAll="0"/>
    <pivotField showAll="0"/>
    <pivotField dataField="1"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 sale" fld="7" baseField="0" baseItem="0"/>
  </dataFields>
  <chartFormats count="1"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9E1616-3AE9-4852-A59F-B0598D8501DF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9" firstHeaderRow="1" firstDataRow="1" firstDataCol="1"/>
  <pivotFields count="8">
    <pivotField showAll="0"/>
    <pivotField numFmtId="15" showAll="0"/>
    <pivotField showAll="0"/>
    <pivotField showAll="0"/>
    <pivotField axis="axisRow" showAll="0">
      <items count="6">
        <item x="2"/>
        <item x="0"/>
        <item x="3"/>
        <item x="1"/>
        <item x="4"/>
        <item t="default"/>
      </items>
    </pivotField>
    <pivotField showAll="0"/>
    <pivotField showAll="0"/>
    <pivotField dataField="1" showAll="0"/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 sale" fld="7" baseField="0" baseItem="0"/>
  </dataFields>
  <chartFormats count="6">
    <chartFormat chart="5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5" format="9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5" format="10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5" format="1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5" format="12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9583E3-3E46-4030-8843-1AC4B854D25E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B14" firstHeaderRow="1" firstDataRow="1" firstDataCol="1"/>
  <pivotFields count="8">
    <pivotField showAll="0"/>
    <pivotField axis="axisRow" numFmtId="15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showAll="0"/>
    <pivotField showAll="0"/>
    <pivotField showAll="0"/>
    <pivotField dataField="1" showAll="0"/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Total sale" fld="7" baseField="0" baseItem="0"/>
  </dataFields>
  <chartFormats count="1">
    <chartFormat chart="6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A34F2D-149A-4018-9A9E-12388E46E3A4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B14" firstHeaderRow="1" firstDataRow="1" firstDataCol="1"/>
  <pivotFields count="8">
    <pivotField showAll="0"/>
    <pivotField numFmtId="15" showAll="0"/>
    <pivotField axis="axisRow" showAll="0">
      <items count="11">
        <item x="0"/>
        <item x="6"/>
        <item x="7"/>
        <item x="8"/>
        <item x="3"/>
        <item x="5"/>
        <item x="1"/>
        <item x="2"/>
        <item x="9"/>
        <item x="4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2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Total sale" fld="7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52E7BC-D55C-44A5-92A7-5339823F7D83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A3:G9" firstHeaderRow="1" firstDataRow="2" firstDataCol="1"/>
  <pivotFields count="8">
    <pivotField showAll="0"/>
    <pivotField numFmtId="15" showAll="0"/>
    <pivotField showAll="0"/>
    <pivotField axis="axisRow" showAll="0">
      <items count="5">
        <item x="2"/>
        <item x="1"/>
        <item x="3"/>
        <item x="0"/>
        <item t="default"/>
      </items>
    </pivotField>
    <pivotField axis="axisCol" showAll="0">
      <items count="6">
        <item x="2"/>
        <item x="0"/>
        <item x="3"/>
        <item x="1"/>
        <item x="4"/>
        <item t="default"/>
      </items>
    </pivotField>
    <pivotField showAll="0"/>
    <pivotField showAll="0"/>
    <pivotField dataField="1"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1">
    <field x="4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Total sale" fld="7" baseField="0" baseItem="0"/>
  </dataFields>
  <chartFormats count="2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0" format="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0" format="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0" format="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10" format="9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10" format="1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11" format="1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1" format="1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1" format="1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11" format="1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11" format="1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12" format="1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2" format="1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2" format="1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12" format="1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12" format="1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630852B-40DA-47B8-9417-8B429889C69B}" name="Table1" displayName="Table1" ref="A1:H11" totalsRowShown="0" headerRowDxfId="1">
  <autoFilter ref="A1:H11" xr:uid="{7630852B-40DA-47B8-9417-8B429889C69B}"/>
  <tableColumns count="8">
    <tableColumn id="1" xr3:uid="{979A1BBA-56D9-44D5-8B0A-942026DE9A8E}" name="Order id "/>
    <tableColumn id="2" xr3:uid="{BD30B2EE-1647-4DEB-8FF9-1B41FED0A186}" name="Date" dataDxfId="0"/>
    <tableColumn id="3" xr3:uid="{E08D908F-5AB6-4074-A9B8-389AF28C0B7A}" name="Salesman"/>
    <tableColumn id="4" xr3:uid="{A0253ED4-CE77-4292-ACD1-22F37C04C9C2}" name="Region"/>
    <tableColumn id="5" xr3:uid="{2E7FEFF0-67F3-4BC9-8DF0-2F88C6EAA300}" name="Product"/>
    <tableColumn id="6" xr3:uid="{2F6AA7B0-0778-4A2D-9A3C-FD9794965506}" name="Qty"/>
    <tableColumn id="7" xr3:uid="{F905F9F3-9E72-4115-A056-9C4F90CD4009}" name="Unit price"/>
    <tableColumn id="8" xr3:uid="{91C29D8B-5BFA-4BB6-9F9C-A8A892E3A0D1}" name="Total sale">
      <calculatedColumnFormula>F2*G2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4AE77-E991-4F6C-B592-D70D931C2F0C}">
  <dimension ref="A1:H11"/>
  <sheetViews>
    <sheetView zoomScale="141" zoomScaleNormal="141" workbookViewId="0">
      <selection sqref="A1:H11"/>
    </sheetView>
  </sheetViews>
  <sheetFormatPr defaultRowHeight="14.4" x14ac:dyDescent="0.3"/>
  <cols>
    <col min="1" max="1" width="12.77734375" customWidth="1"/>
    <col min="2" max="2" width="11.44140625" customWidth="1"/>
    <col min="3" max="3" width="13.5546875" customWidth="1"/>
    <col min="4" max="4" width="11.88671875" bestFit="1" customWidth="1"/>
    <col min="5" max="5" width="11.109375" customWidth="1"/>
    <col min="7" max="7" width="13.33203125" customWidth="1"/>
    <col min="8" max="8" width="15" customWidth="1"/>
  </cols>
  <sheetData>
    <row r="1" spans="1:8" ht="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101</v>
      </c>
      <c r="B2" s="2">
        <v>46266</v>
      </c>
      <c r="C2" t="s">
        <v>9</v>
      </c>
      <c r="D2" t="s">
        <v>18</v>
      </c>
      <c r="E2" t="s">
        <v>22</v>
      </c>
      <c r="F2">
        <v>5</v>
      </c>
      <c r="G2">
        <v>45000</v>
      </c>
      <c r="H2">
        <f>F2*G2</f>
        <v>225000</v>
      </c>
    </row>
    <row r="3" spans="1:8" x14ac:dyDescent="0.3">
      <c r="A3">
        <v>102</v>
      </c>
      <c r="B3" s="2">
        <v>46267</v>
      </c>
      <c r="C3" t="s">
        <v>8</v>
      </c>
      <c r="D3" t="s">
        <v>19</v>
      </c>
      <c r="E3" t="s">
        <v>23</v>
      </c>
      <c r="F3">
        <v>10</v>
      </c>
      <c r="G3">
        <v>350</v>
      </c>
      <c r="H3">
        <f t="shared" ref="H3:H11" si="0">F3*G3</f>
        <v>3500</v>
      </c>
    </row>
    <row r="4" spans="1:8" x14ac:dyDescent="0.3">
      <c r="A4">
        <v>103</v>
      </c>
      <c r="B4" s="2">
        <v>46268</v>
      </c>
      <c r="C4" t="s">
        <v>10</v>
      </c>
      <c r="D4" t="s">
        <v>18</v>
      </c>
      <c r="E4" t="s">
        <v>24</v>
      </c>
      <c r="F4">
        <v>3</v>
      </c>
      <c r="G4">
        <v>1200</v>
      </c>
      <c r="H4">
        <f t="shared" si="0"/>
        <v>3600</v>
      </c>
    </row>
    <row r="5" spans="1:8" x14ac:dyDescent="0.3">
      <c r="A5">
        <v>104</v>
      </c>
      <c r="B5" s="2">
        <v>46269</v>
      </c>
      <c r="C5" t="s">
        <v>11</v>
      </c>
      <c r="D5" t="s">
        <v>20</v>
      </c>
      <c r="E5" t="s">
        <v>25</v>
      </c>
      <c r="F5">
        <v>4</v>
      </c>
      <c r="G5">
        <v>12000</v>
      </c>
      <c r="H5">
        <f t="shared" si="0"/>
        <v>48000</v>
      </c>
    </row>
    <row r="6" spans="1:8" x14ac:dyDescent="0.3">
      <c r="A6">
        <v>105</v>
      </c>
      <c r="B6" s="2">
        <v>46270</v>
      </c>
      <c r="C6" t="s">
        <v>12</v>
      </c>
      <c r="D6" t="s">
        <v>19</v>
      </c>
      <c r="E6" t="s">
        <v>26</v>
      </c>
      <c r="F6">
        <v>2</v>
      </c>
      <c r="G6">
        <v>1200</v>
      </c>
      <c r="H6">
        <f t="shared" si="0"/>
        <v>2400</v>
      </c>
    </row>
    <row r="7" spans="1:8" x14ac:dyDescent="0.3">
      <c r="A7">
        <v>106</v>
      </c>
      <c r="B7" s="2">
        <v>46271</v>
      </c>
      <c r="C7" t="s">
        <v>13</v>
      </c>
      <c r="D7" t="s">
        <v>21</v>
      </c>
      <c r="E7" t="s">
        <v>23</v>
      </c>
      <c r="F7">
        <v>5</v>
      </c>
      <c r="G7">
        <v>350</v>
      </c>
      <c r="H7">
        <f t="shared" si="0"/>
        <v>1750</v>
      </c>
    </row>
    <row r="8" spans="1:8" x14ac:dyDescent="0.3">
      <c r="A8">
        <v>107</v>
      </c>
      <c r="B8" s="2">
        <v>46272</v>
      </c>
      <c r="C8" t="s">
        <v>14</v>
      </c>
      <c r="D8" t="s">
        <v>18</v>
      </c>
      <c r="E8" t="s">
        <v>24</v>
      </c>
      <c r="F8">
        <v>9</v>
      </c>
      <c r="G8">
        <v>1200</v>
      </c>
      <c r="H8">
        <f t="shared" si="0"/>
        <v>10800</v>
      </c>
    </row>
    <row r="9" spans="1:8" x14ac:dyDescent="0.3">
      <c r="A9">
        <v>108</v>
      </c>
      <c r="B9" s="2">
        <v>46273</v>
      </c>
      <c r="C9" t="s">
        <v>15</v>
      </c>
      <c r="D9" t="s">
        <v>19</v>
      </c>
      <c r="E9" t="s">
        <v>22</v>
      </c>
      <c r="F9">
        <v>7</v>
      </c>
      <c r="G9">
        <v>45000</v>
      </c>
      <c r="H9">
        <f t="shared" si="0"/>
        <v>315000</v>
      </c>
    </row>
    <row r="10" spans="1:8" x14ac:dyDescent="0.3">
      <c r="A10">
        <v>109</v>
      </c>
      <c r="B10" s="2">
        <v>46274</v>
      </c>
      <c r="C10" t="s">
        <v>16</v>
      </c>
      <c r="D10" t="s">
        <v>20</v>
      </c>
      <c r="E10" t="s">
        <v>22</v>
      </c>
      <c r="F10">
        <v>8</v>
      </c>
      <c r="G10">
        <v>45000</v>
      </c>
      <c r="H10">
        <f t="shared" si="0"/>
        <v>360000</v>
      </c>
    </row>
    <row r="11" spans="1:8" x14ac:dyDescent="0.3">
      <c r="A11">
        <v>110</v>
      </c>
      <c r="B11" s="2">
        <v>46275</v>
      </c>
      <c r="C11" t="s">
        <v>17</v>
      </c>
      <c r="D11" t="s">
        <v>21</v>
      </c>
      <c r="E11" t="s">
        <v>26</v>
      </c>
      <c r="F11">
        <v>6</v>
      </c>
      <c r="G11">
        <v>1200</v>
      </c>
      <c r="H11">
        <f t="shared" si="0"/>
        <v>7200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A827E-DB83-4286-9F6A-976008148A21}">
  <dimension ref="A3:B8"/>
  <sheetViews>
    <sheetView workbookViewId="0">
      <selection activeCell="K22" sqref="K22"/>
    </sheetView>
  </sheetViews>
  <sheetFormatPr defaultRowHeight="14.4" x14ac:dyDescent="0.3"/>
  <cols>
    <col min="1" max="1" width="12.5546875" bestFit="1" customWidth="1"/>
    <col min="2" max="2" width="15.44140625" bestFit="1" customWidth="1"/>
  </cols>
  <sheetData>
    <row r="3" spans="1:2" x14ac:dyDescent="0.3">
      <c r="A3" s="3" t="s">
        <v>27</v>
      </c>
      <c r="B3" t="s">
        <v>29</v>
      </c>
    </row>
    <row r="4" spans="1:2" x14ac:dyDescent="0.3">
      <c r="A4" s="4" t="s">
        <v>20</v>
      </c>
      <c r="B4">
        <v>408000</v>
      </c>
    </row>
    <row r="5" spans="1:2" x14ac:dyDescent="0.3">
      <c r="A5" s="4" t="s">
        <v>19</v>
      </c>
      <c r="B5">
        <v>320900</v>
      </c>
    </row>
    <row r="6" spans="1:2" x14ac:dyDescent="0.3">
      <c r="A6" s="4" t="s">
        <v>21</v>
      </c>
      <c r="B6">
        <v>8950</v>
      </c>
    </row>
    <row r="7" spans="1:2" x14ac:dyDescent="0.3">
      <c r="A7" s="4" t="s">
        <v>18</v>
      </c>
      <c r="B7">
        <v>239400</v>
      </c>
    </row>
    <row r="8" spans="1:2" x14ac:dyDescent="0.3">
      <c r="A8" s="4" t="s">
        <v>28</v>
      </c>
      <c r="B8">
        <v>977250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3DD2F-AD43-424D-A505-D5B8D9E656F0}">
  <dimension ref="A3:B9"/>
  <sheetViews>
    <sheetView workbookViewId="0">
      <selection activeCell="M12" sqref="M12"/>
    </sheetView>
  </sheetViews>
  <sheetFormatPr defaultRowHeight="14.4" x14ac:dyDescent="0.3"/>
  <cols>
    <col min="1" max="1" width="12.5546875" bestFit="1" customWidth="1"/>
    <col min="2" max="2" width="15.44140625" bestFit="1" customWidth="1"/>
  </cols>
  <sheetData>
    <row r="3" spans="1:2" x14ac:dyDescent="0.3">
      <c r="A3" s="3" t="s">
        <v>27</v>
      </c>
      <c r="B3" t="s">
        <v>29</v>
      </c>
    </row>
    <row r="4" spans="1:2" x14ac:dyDescent="0.3">
      <c r="A4" s="4" t="s">
        <v>24</v>
      </c>
      <c r="B4">
        <v>14400</v>
      </c>
    </row>
    <row r="5" spans="1:2" x14ac:dyDescent="0.3">
      <c r="A5" s="4" t="s">
        <v>22</v>
      </c>
      <c r="B5">
        <v>900000</v>
      </c>
    </row>
    <row r="6" spans="1:2" x14ac:dyDescent="0.3">
      <c r="A6" s="4" t="s">
        <v>25</v>
      </c>
      <c r="B6">
        <v>48000</v>
      </c>
    </row>
    <row r="7" spans="1:2" x14ac:dyDescent="0.3">
      <c r="A7" s="4" t="s">
        <v>23</v>
      </c>
      <c r="B7">
        <v>5250</v>
      </c>
    </row>
    <row r="8" spans="1:2" x14ac:dyDescent="0.3">
      <c r="A8" s="4" t="s">
        <v>26</v>
      </c>
      <c r="B8">
        <v>9600</v>
      </c>
    </row>
    <row r="9" spans="1:2" x14ac:dyDescent="0.3">
      <c r="A9" s="4" t="s">
        <v>28</v>
      </c>
      <c r="B9">
        <v>977250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42292-7156-4F19-B3F2-AC0E2B0D526E}">
  <dimension ref="A3:B14"/>
  <sheetViews>
    <sheetView workbookViewId="0">
      <selection activeCell="M11" sqref="M11"/>
    </sheetView>
  </sheetViews>
  <sheetFormatPr defaultRowHeight="14.4" x14ac:dyDescent="0.3"/>
  <cols>
    <col min="1" max="1" width="12.5546875" bestFit="1" customWidth="1"/>
    <col min="2" max="2" width="15.44140625" bestFit="1" customWidth="1"/>
  </cols>
  <sheetData>
    <row r="3" spans="1:2" x14ac:dyDescent="0.3">
      <c r="A3" s="3" t="s">
        <v>27</v>
      </c>
      <c r="B3" t="s">
        <v>29</v>
      </c>
    </row>
    <row r="4" spans="1:2" x14ac:dyDescent="0.3">
      <c r="A4" s="5">
        <v>46266</v>
      </c>
      <c r="B4">
        <v>225000</v>
      </c>
    </row>
    <row r="5" spans="1:2" x14ac:dyDescent="0.3">
      <c r="A5" s="5">
        <v>46267</v>
      </c>
      <c r="B5">
        <v>3500</v>
      </c>
    </row>
    <row r="6" spans="1:2" x14ac:dyDescent="0.3">
      <c r="A6" s="5">
        <v>46268</v>
      </c>
      <c r="B6">
        <v>3600</v>
      </c>
    </row>
    <row r="7" spans="1:2" x14ac:dyDescent="0.3">
      <c r="A7" s="5">
        <v>46269</v>
      </c>
      <c r="B7">
        <v>48000</v>
      </c>
    </row>
    <row r="8" spans="1:2" x14ac:dyDescent="0.3">
      <c r="A8" s="5">
        <v>46270</v>
      </c>
      <c r="B8">
        <v>2400</v>
      </c>
    </row>
    <row r="9" spans="1:2" x14ac:dyDescent="0.3">
      <c r="A9" s="5">
        <v>46271</v>
      </c>
      <c r="B9">
        <v>1750</v>
      </c>
    </row>
    <row r="10" spans="1:2" x14ac:dyDescent="0.3">
      <c r="A10" s="5">
        <v>46272</v>
      </c>
      <c r="B10">
        <v>10800</v>
      </c>
    </row>
    <row r="11" spans="1:2" x14ac:dyDescent="0.3">
      <c r="A11" s="5">
        <v>46273</v>
      </c>
      <c r="B11">
        <v>315000</v>
      </c>
    </row>
    <row r="12" spans="1:2" x14ac:dyDescent="0.3">
      <c r="A12" s="5">
        <v>46274</v>
      </c>
      <c r="B12">
        <v>360000</v>
      </c>
    </row>
    <row r="13" spans="1:2" x14ac:dyDescent="0.3">
      <c r="A13" s="5">
        <v>46275</v>
      </c>
      <c r="B13">
        <v>7200</v>
      </c>
    </row>
    <row r="14" spans="1:2" x14ac:dyDescent="0.3">
      <c r="A14" s="5" t="s">
        <v>28</v>
      </c>
      <c r="B14">
        <v>977250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A8203-769D-4DBA-A7F5-2433823E8CFB}">
  <dimension ref="A3:B14"/>
  <sheetViews>
    <sheetView zoomScale="120" workbookViewId="0">
      <selection activeCell="M8" sqref="M8"/>
    </sheetView>
  </sheetViews>
  <sheetFormatPr defaultRowHeight="14.4" x14ac:dyDescent="0.3"/>
  <cols>
    <col min="1" max="1" width="12.5546875" bestFit="1" customWidth="1"/>
    <col min="2" max="2" width="15.44140625" bestFit="1" customWidth="1"/>
  </cols>
  <sheetData>
    <row r="3" spans="1:2" x14ac:dyDescent="0.3">
      <c r="A3" s="3" t="s">
        <v>27</v>
      </c>
      <c r="B3" t="s">
        <v>29</v>
      </c>
    </row>
    <row r="4" spans="1:2" x14ac:dyDescent="0.3">
      <c r="A4" s="4" t="s">
        <v>9</v>
      </c>
      <c r="B4">
        <v>225000</v>
      </c>
    </row>
    <row r="5" spans="1:2" x14ac:dyDescent="0.3">
      <c r="A5" s="4" t="s">
        <v>14</v>
      </c>
      <c r="B5">
        <v>10800</v>
      </c>
    </row>
    <row r="6" spans="1:2" x14ac:dyDescent="0.3">
      <c r="A6" s="4" t="s">
        <v>15</v>
      </c>
      <c r="B6">
        <v>315000</v>
      </c>
    </row>
    <row r="7" spans="1:2" x14ac:dyDescent="0.3">
      <c r="A7" s="4" t="s">
        <v>16</v>
      </c>
      <c r="B7">
        <v>360000</v>
      </c>
    </row>
    <row r="8" spans="1:2" x14ac:dyDescent="0.3">
      <c r="A8" s="4" t="s">
        <v>11</v>
      </c>
      <c r="B8">
        <v>48000</v>
      </c>
    </row>
    <row r="9" spans="1:2" x14ac:dyDescent="0.3">
      <c r="A9" s="4" t="s">
        <v>13</v>
      </c>
      <c r="B9">
        <v>1750</v>
      </c>
    </row>
    <row r="10" spans="1:2" x14ac:dyDescent="0.3">
      <c r="A10" s="4" t="s">
        <v>8</v>
      </c>
      <c r="B10">
        <v>3500</v>
      </c>
    </row>
    <row r="11" spans="1:2" x14ac:dyDescent="0.3">
      <c r="A11" s="4" t="s">
        <v>10</v>
      </c>
      <c r="B11">
        <v>3600</v>
      </c>
    </row>
    <row r="12" spans="1:2" x14ac:dyDescent="0.3">
      <c r="A12" s="4" t="s">
        <v>17</v>
      </c>
      <c r="B12">
        <v>7200</v>
      </c>
    </row>
    <row r="13" spans="1:2" x14ac:dyDescent="0.3">
      <c r="A13" s="4" t="s">
        <v>12</v>
      </c>
      <c r="B13">
        <v>2400</v>
      </c>
    </row>
    <row r="14" spans="1:2" x14ac:dyDescent="0.3">
      <c r="A14" s="4" t="s">
        <v>28</v>
      </c>
      <c r="B14">
        <v>977250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C0738-925C-4702-BF0D-EB0047902DAF}">
  <dimension ref="A3:G9"/>
  <sheetViews>
    <sheetView workbookViewId="0">
      <selection activeCell="N28" sqref="N28"/>
    </sheetView>
  </sheetViews>
  <sheetFormatPr defaultRowHeight="14.4" x14ac:dyDescent="0.3"/>
  <cols>
    <col min="1" max="1" width="15.44140625" bestFit="1" customWidth="1"/>
    <col min="2" max="2" width="15.5546875" bestFit="1" customWidth="1"/>
    <col min="3" max="3" width="7" bestFit="1" customWidth="1"/>
    <col min="4" max="4" width="7.77734375" bestFit="1" customWidth="1"/>
    <col min="5" max="6" width="6.6640625" bestFit="1" customWidth="1"/>
    <col min="7" max="7" width="10.77734375" bestFit="1" customWidth="1"/>
  </cols>
  <sheetData>
    <row r="3" spans="1:7" x14ac:dyDescent="0.3">
      <c r="A3" s="3" t="s">
        <v>29</v>
      </c>
      <c r="B3" s="3" t="s">
        <v>30</v>
      </c>
    </row>
    <row r="4" spans="1:7" x14ac:dyDescent="0.3">
      <c r="A4" s="3" t="s">
        <v>27</v>
      </c>
      <c r="B4" t="s">
        <v>24</v>
      </c>
      <c r="C4" t="s">
        <v>22</v>
      </c>
      <c r="D4" t="s">
        <v>25</v>
      </c>
      <c r="E4" t="s">
        <v>23</v>
      </c>
      <c r="F4" t="s">
        <v>26</v>
      </c>
      <c r="G4" t="s">
        <v>28</v>
      </c>
    </row>
    <row r="5" spans="1:7" x14ac:dyDescent="0.3">
      <c r="A5" s="4" t="s">
        <v>20</v>
      </c>
      <c r="C5">
        <v>360000</v>
      </c>
      <c r="D5">
        <v>48000</v>
      </c>
      <c r="G5">
        <v>408000</v>
      </c>
    </row>
    <row r="6" spans="1:7" x14ac:dyDescent="0.3">
      <c r="A6" s="4" t="s">
        <v>19</v>
      </c>
      <c r="C6">
        <v>315000</v>
      </c>
      <c r="E6">
        <v>3500</v>
      </c>
      <c r="F6">
        <v>2400</v>
      </c>
      <c r="G6">
        <v>320900</v>
      </c>
    </row>
    <row r="7" spans="1:7" x14ac:dyDescent="0.3">
      <c r="A7" s="4" t="s">
        <v>21</v>
      </c>
      <c r="E7">
        <v>1750</v>
      </c>
      <c r="F7">
        <v>7200</v>
      </c>
      <c r="G7">
        <v>8950</v>
      </c>
    </row>
    <row r="8" spans="1:7" x14ac:dyDescent="0.3">
      <c r="A8" s="4" t="s">
        <v>18</v>
      </c>
      <c r="B8">
        <v>14400</v>
      </c>
      <c r="C8">
        <v>225000</v>
      </c>
      <c r="G8">
        <v>239400</v>
      </c>
    </row>
    <row r="9" spans="1:7" x14ac:dyDescent="0.3">
      <c r="A9" s="4" t="s">
        <v>28</v>
      </c>
      <c r="B9">
        <v>14400</v>
      </c>
      <c r="C9">
        <v>900000</v>
      </c>
      <c r="D9">
        <v>48000</v>
      </c>
      <c r="E9">
        <v>5250</v>
      </c>
      <c r="F9">
        <v>9600</v>
      </c>
      <c r="G9">
        <v>977250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34BA2-13C6-446F-AEEA-3D0A6C26FE47}">
  <dimension ref="A1:V42"/>
  <sheetViews>
    <sheetView showGridLines="0" tabSelected="1" workbookViewId="0">
      <selection activeCell="A5" sqref="A5:U42"/>
    </sheetView>
  </sheetViews>
  <sheetFormatPr defaultRowHeight="14.4" x14ac:dyDescent="0.3"/>
  <sheetData>
    <row r="1" spans="1:22" ht="14.4" customHeight="1" x14ac:dyDescent="0.3">
      <c r="A1" s="6" t="s">
        <v>31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</row>
    <row r="2" spans="1:22" ht="14.4" customHeight="1" x14ac:dyDescent="0.3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</row>
    <row r="3" spans="1:22" x14ac:dyDescent="0.3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</row>
    <row r="4" spans="1:22" x14ac:dyDescent="0.3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</row>
    <row r="5" spans="1:22" x14ac:dyDescent="0.3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</row>
    <row r="6" spans="1:22" x14ac:dyDescent="0.3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</row>
    <row r="7" spans="1:22" x14ac:dyDescent="0.3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</row>
    <row r="8" spans="1:22" x14ac:dyDescent="0.3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</row>
    <row r="9" spans="1:22" x14ac:dyDescent="0.3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</row>
    <row r="10" spans="1:22" x14ac:dyDescent="0.3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</row>
    <row r="11" spans="1:22" x14ac:dyDescent="0.3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</row>
    <row r="12" spans="1:22" x14ac:dyDescent="0.3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</row>
    <row r="13" spans="1:22" x14ac:dyDescent="0.3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</row>
    <row r="14" spans="1:22" x14ac:dyDescent="0.3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</row>
    <row r="15" spans="1:22" x14ac:dyDescent="0.3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</row>
    <row r="16" spans="1:22" x14ac:dyDescent="0.3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</row>
    <row r="17" spans="1:21" x14ac:dyDescent="0.3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</row>
    <row r="18" spans="1:21" x14ac:dyDescent="0.3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</row>
    <row r="19" spans="1:21" x14ac:dyDescent="0.3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</row>
    <row r="20" spans="1:21" x14ac:dyDescent="0.3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</row>
    <row r="21" spans="1:21" x14ac:dyDescent="0.3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</row>
    <row r="22" spans="1:21" x14ac:dyDescent="0.3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</row>
    <row r="23" spans="1:21" x14ac:dyDescent="0.3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</row>
    <row r="24" spans="1:21" x14ac:dyDescent="0.3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</row>
    <row r="25" spans="1:21" x14ac:dyDescent="0.3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</row>
    <row r="26" spans="1:21" x14ac:dyDescent="0.3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</row>
    <row r="27" spans="1:21" x14ac:dyDescent="0.3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</row>
    <row r="28" spans="1:21" x14ac:dyDescent="0.3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</row>
    <row r="29" spans="1:21" x14ac:dyDescent="0.3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</row>
    <row r="30" spans="1:21" x14ac:dyDescent="0.3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</row>
    <row r="31" spans="1:21" x14ac:dyDescent="0.3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</row>
    <row r="32" spans="1:21" x14ac:dyDescent="0.3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</row>
    <row r="33" spans="1:21" x14ac:dyDescent="0.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</row>
    <row r="34" spans="1:21" x14ac:dyDescent="0.3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</row>
    <row r="35" spans="1:21" x14ac:dyDescent="0.3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</row>
    <row r="36" spans="1:21" x14ac:dyDescent="0.3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</row>
    <row r="37" spans="1:21" x14ac:dyDescent="0.3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</row>
    <row r="38" spans="1:21" x14ac:dyDescent="0.3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</row>
    <row r="39" spans="1:21" x14ac:dyDescent="0.3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</row>
    <row r="40" spans="1:21" x14ac:dyDescent="0.3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</row>
    <row r="41" spans="1:21" x14ac:dyDescent="0.3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</row>
    <row r="42" spans="1:21" x14ac:dyDescent="0.3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</row>
  </sheetData>
  <mergeCells count="1">
    <mergeCell ref="A1:V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Sheet2</vt:lpstr>
      <vt:lpstr>sheet3</vt:lpstr>
      <vt:lpstr>Sheet4</vt:lpstr>
      <vt:lpstr>Sheet5</vt:lpstr>
      <vt:lpstr>Sheet6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shivansh vashishth</dc:creator>
  <cp:lastModifiedBy>shivansh vashishth</cp:lastModifiedBy>
  <dcterms:created xsi:type="dcterms:W3CDTF">2026-09-15T15:35:50Z</dcterms:created>
  <dcterms:modified xsi:type="dcterms:W3CDTF">2026-09-22T16:31:21Z</dcterms:modified>
</cp:coreProperties>
</file>