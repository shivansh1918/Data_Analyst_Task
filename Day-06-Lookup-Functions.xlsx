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D754CC2F-1B11-9B41-9024-39EAE719F08D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Lookup" sheetId="1" r:id="rId1"/>
    <sheet name="Product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1" l="1"/>
  <c r="G25" i="1"/>
  <c r="D25" i="1"/>
  <c r="F25" i="1"/>
  <c r="C25" i="1"/>
  <c r="B25" i="1"/>
  <c r="H24" i="1"/>
  <c r="G24" i="1"/>
  <c r="D24" i="1"/>
  <c r="F24" i="1"/>
  <c r="C24" i="1"/>
  <c r="B24" i="1"/>
  <c r="H23" i="1"/>
  <c r="G23" i="1"/>
  <c r="D23" i="1"/>
  <c r="F23" i="1"/>
  <c r="C23" i="1"/>
  <c r="B23" i="1"/>
  <c r="H22" i="1"/>
  <c r="G22" i="1"/>
  <c r="D22" i="1"/>
  <c r="F22" i="1"/>
  <c r="C22" i="1"/>
  <c r="B22" i="1"/>
  <c r="H21" i="1"/>
  <c r="G21" i="1"/>
  <c r="D21" i="1"/>
  <c r="F21" i="1"/>
  <c r="C21" i="1"/>
  <c r="B21" i="1"/>
  <c r="H20" i="1"/>
  <c r="G20" i="1"/>
  <c r="D20" i="1"/>
  <c r="F20" i="1"/>
  <c r="C20" i="1"/>
  <c r="B20" i="1"/>
  <c r="H19" i="1"/>
  <c r="G19" i="1"/>
  <c r="D19" i="1"/>
  <c r="F19" i="1"/>
  <c r="C19" i="1"/>
  <c r="B19" i="1"/>
  <c r="H18" i="1"/>
  <c r="G18" i="1"/>
  <c r="D18" i="1"/>
  <c r="F18" i="1"/>
  <c r="C18" i="1"/>
  <c r="B18" i="1"/>
  <c r="H17" i="1"/>
  <c r="G17" i="1"/>
  <c r="D17" i="1"/>
  <c r="F17" i="1"/>
  <c r="C17" i="1"/>
  <c r="B17" i="1"/>
  <c r="H16" i="1"/>
  <c r="G16" i="1"/>
  <c r="D16" i="1"/>
  <c r="F16" i="1"/>
  <c r="C16" i="1"/>
  <c r="B16" i="1"/>
  <c r="H15" i="1"/>
  <c r="G15" i="1"/>
  <c r="D15" i="1"/>
  <c r="F15" i="1"/>
  <c r="C15" i="1"/>
  <c r="B15" i="1"/>
  <c r="H14" i="1"/>
  <c r="G14" i="1"/>
  <c r="D14" i="1"/>
  <c r="F14" i="1"/>
  <c r="C14" i="1"/>
  <c r="B14" i="1"/>
  <c r="H13" i="1"/>
  <c r="G13" i="1"/>
  <c r="D13" i="1"/>
  <c r="F13" i="1"/>
  <c r="C13" i="1"/>
  <c r="B13" i="1"/>
  <c r="H12" i="1"/>
  <c r="G12" i="1"/>
  <c r="D12" i="1"/>
  <c r="F12" i="1"/>
  <c r="C12" i="1"/>
  <c r="B12" i="1"/>
  <c r="H11" i="1"/>
  <c r="G11" i="1"/>
  <c r="D11" i="1"/>
  <c r="F11" i="1"/>
  <c r="C11" i="1"/>
  <c r="B11" i="1"/>
  <c r="H10" i="1"/>
  <c r="G10" i="1"/>
  <c r="D10" i="1"/>
  <c r="F10" i="1"/>
  <c r="C10" i="1"/>
  <c r="B10" i="1"/>
  <c r="H9" i="1"/>
  <c r="G9" i="1"/>
  <c r="D9" i="1"/>
  <c r="F9" i="1"/>
  <c r="C9" i="1"/>
  <c r="B9" i="1"/>
  <c r="H8" i="1"/>
  <c r="G8" i="1"/>
  <c r="D8" i="1"/>
  <c r="F8" i="1"/>
  <c r="C8" i="1"/>
  <c r="B8" i="1"/>
  <c r="H7" i="1"/>
  <c r="G7" i="1"/>
  <c r="D7" i="1"/>
  <c r="F7" i="1"/>
  <c r="C7" i="1"/>
  <c r="B7" i="1"/>
  <c r="H6" i="1"/>
  <c r="G6" i="1"/>
  <c r="D6" i="1"/>
  <c r="F6" i="1"/>
  <c r="C6" i="1"/>
  <c r="B6" i="1"/>
  <c r="H5" i="1"/>
  <c r="G5" i="1"/>
  <c r="D5" i="1"/>
  <c r="F5" i="1"/>
  <c r="C5" i="1"/>
  <c r="B5" i="1"/>
  <c r="H4" i="1"/>
  <c r="G4" i="1"/>
  <c r="D4" i="1"/>
  <c r="F4" i="1"/>
  <c r="C4" i="1"/>
  <c r="B4" i="1"/>
  <c r="H3" i="1"/>
  <c r="G3" i="1"/>
  <c r="D3" i="1"/>
  <c r="F3" i="1"/>
  <c r="C3" i="1"/>
  <c r="B3" i="1"/>
  <c r="H2" i="1"/>
  <c r="G2" i="1"/>
  <c r="D2" i="1"/>
  <c r="F2" i="1"/>
  <c r="C2" i="1"/>
  <c r="B2" i="1"/>
</calcChain>
</file>

<file path=xl/sharedStrings.xml><?xml version="1.0" encoding="utf-8"?>
<sst xmlns="http://schemas.openxmlformats.org/spreadsheetml/2006/main" count="62" uniqueCount="29">
  <si>
    <t>Product ID</t>
  </si>
  <si>
    <t>Product</t>
  </si>
  <si>
    <t>Category</t>
  </si>
  <si>
    <t>Unit Price</t>
  </si>
  <si>
    <t>Units</t>
  </si>
  <si>
    <t>Revenue</t>
  </si>
  <si>
    <t>VLOOKUP Price Check</t>
  </si>
  <si>
    <t>INDEX/MATCH Category</t>
  </si>
  <si>
    <t>P001</t>
  </si>
  <si>
    <t>P003</t>
  </si>
  <si>
    <t>P005</t>
  </si>
  <si>
    <t>P002</t>
  </si>
  <si>
    <t>P004</t>
  </si>
  <si>
    <t>P006</t>
  </si>
  <si>
    <t>P007</t>
  </si>
  <si>
    <t>P008</t>
  </si>
  <si>
    <t>Stock</t>
  </si>
  <si>
    <t>Discount</t>
  </si>
  <si>
    <t>Laptop</t>
  </si>
  <si>
    <t>Electronics</t>
  </si>
  <si>
    <t>Monitor</t>
  </si>
  <si>
    <t>Keyboard</t>
  </si>
  <si>
    <t>Accessories</t>
  </si>
  <si>
    <t>Mouse</t>
  </si>
  <si>
    <t>Desk</t>
  </si>
  <si>
    <t>Furniture</t>
  </si>
  <si>
    <t>Chair</t>
  </si>
  <si>
    <t>Headset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</si>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</sst>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ster" displayName="ProductMaster" ref="A1:F9" totalsRowShown="0">
  <autoFilter ref="A1:F9" xr:uid="{00000000-0009-0000-0100-000001000000}"/>
  <tableColumns count="6">
    <tableColumn id="1" xr3:uid="{00000000-0010-0000-0000-000001000000}" name="Product ID"/>
    <tableColumn id="2" xr3:uid="{00000000-0010-0000-0000-000002000000}" name="Product"/>
    <tableColumn id="3" xr3:uid="{00000000-0010-0000-0000-000003000000}" name="Category"/>
    <tableColumn id="4" xr3:uid="{00000000-0010-0000-0000-000004000000}" name="Unit Price"/>
    <tableColumn id="5" xr3:uid="{00000000-0010-0000-0000-000005000000}" name="Stock"/>
    <tableColumn id="6" xr3:uid="{00000000-0010-0000-0000-000006000000}" name="Dis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ColWidth="8.7421875" defaultRowHeight="15" customHeight="1" x14ac:dyDescent="0.2"/>
  <cols>
    <col min="1" max="1" width="11.97265625" style="1" customWidth="1"/>
    <col min="2" max="4" width="29.99609375" style="1" customWidth="1"/>
    <col min="5" max="6" width="9.953125" style="1" customWidth="1"/>
    <col min="7" max="8" width="29.99609375" style="1" customWidth="1"/>
  </cols>
  <sheetData>
    <row r="1" spans="1:8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 x14ac:dyDescent="0.2">
      <c r="A2" s="3" t="s">
        <v>8</v>
      </c>
      <c r="B2" s="3" t="str">
        <f>VLOOKUP(A2,Products!$A$2:$F$9,2,FALSE())</f>
        <v>Laptop</v>
      </c>
      <c r="C2" s="3" t="str">
        <f>VLOOKUP(A2,Products!$A$2:$F$9,3,FALSE())</f>
        <v>Electronics</v>
      </c>
      <c r="D2" s="4">
        <f>VLOOKUP(A2,Products!$A$2:$F$9,4,FALSE())</f>
        <v>65000</v>
      </c>
      <c r="E2" s="3">
        <v>2</v>
      </c>
      <c r="F2" s="4">
        <f>D2*E2</f>
        <v>130000</v>
      </c>
      <c r="G2" s="4">
        <f>VLOOKUP(A2,Products!$A$2:$F$9,4,FALSE())</f>
        <v>65000</v>
      </c>
      <c r="H2" s="3" t="str">
        <f>INDEX(Products!$C$2:$C$9,MATCH(A2,Products!$A$2:$A$9,0))</f>
        <v>Electronics</v>
      </c>
    </row>
    <row r="3" spans="1:8" ht="15" customHeight="1" x14ac:dyDescent="0.2">
      <c r="A3" s="3" t="s">
        <v>9</v>
      </c>
      <c r="B3" s="3" t="str">
        <f>VLOOKUP(A3,Products!$A$2:$F$9,2,FALSE())</f>
        <v>Keyboard</v>
      </c>
      <c r="C3" s="3" t="str">
        <f>VLOOKUP(A3,Products!$A$2:$F$9,3,FALSE())</f>
        <v>Accessories</v>
      </c>
      <c r="D3" s="4">
        <f>VLOOKUP(A3,Products!$A$2:$F$9,4,FALSE())</f>
        <v>2500</v>
      </c>
      <c r="E3" s="3">
        <v>10</v>
      </c>
      <c r="F3" s="4">
        <f>D3*E3</f>
        <v>25000</v>
      </c>
      <c r="G3" s="4">
        <f>VLOOKUP(A3,Products!$A$2:$F$9,4,FALSE())</f>
        <v>2500</v>
      </c>
      <c r="H3" s="3" t="str">
        <f>INDEX(Products!$C$2:$C$9,MATCH(A3,Products!$A$2:$A$9,0))</f>
        <v>Accessories</v>
      </c>
    </row>
    <row r="4" spans="1:8" ht="15" customHeight="1" x14ac:dyDescent="0.2">
      <c r="A4" s="3" t="s">
        <v>10</v>
      </c>
      <c r="B4" s="3" t="str">
        <f>VLOOKUP(A4,Products!$A$2:$F$9,2,FALSE())</f>
        <v>Desk</v>
      </c>
      <c r="C4" s="3" t="str">
        <f>VLOOKUP(A4,Products!$A$2:$F$9,3,FALSE())</f>
        <v>Furniture</v>
      </c>
      <c r="D4" s="4">
        <f>VLOOKUP(A4,Products!$A$2:$F$9,4,FALSE())</f>
        <v>12000</v>
      </c>
      <c r="E4" s="3">
        <v>4</v>
      </c>
      <c r="F4" s="4">
        <f>D4*E4</f>
        <v>48000</v>
      </c>
      <c r="G4" s="4">
        <f>VLOOKUP(A4,Products!$A$2:$F$9,4,FALSE())</f>
        <v>12000</v>
      </c>
      <c r="H4" s="3" t="str">
        <f>INDEX(Products!$C$2:$C$9,MATCH(A4,Products!$A$2:$A$9,0))</f>
        <v>Furniture</v>
      </c>
    </row>
    <row r="5" spans="1:8" ht="15" customHeight="1" x14ac:dyDescent="0.2">
      <c r="A5" s="3" t="s">
        <v>11</v>
      </c>
      <c r="B5" s="3" t="str">
        <f>VLOOKUP(A5,Products!$A$2:$F$9,2,FALSE())</f>
        <v>Monitor</v>
      </c>
      <c r="C5" s="3" t="str">
        <f>VLOOKUP(A5,Products!$A$2:$F$9,3,FALSE())</f>
        <v>Electronics</v>
      </c>
      <c r="D5" s="4">
        <f>VLOOKUP(A5,Products!$A$2:$F$9,4,FALSE())</f>
        <v>18000</v>
      </c>
      <c r="E5" s="3">
        <v>8</v>
      </c>
      <c r="F5" s="4">
        <f>D5*E5</f>
        <v>144000</v>
      </c>
      <c r="G5" s="4">
        <f>VLOOKUP(A5,Products!$A$2:$F$9,4,FALSE())</f>
        <v>18000</v>
      </c>
      <c r="H5" s="3" t="str">
        <f>INDEX(Products!$C$2:$C$9,MATCH(A5,Products!$A$2:$A$9,0))</f>
        <v>Electronics</v>
      </c>
    </row>
    <row r="6" spans="1:8" ht="15" customHeight="1" x14ac:dyDescent="0.2">
      <c r="A6" s="3" t="s">
        <v>12</v>
      </c>
      <c r="B6" s="3" t="str">
        <f>VLOOKUP(A6,Products!$A$2:$F$9,2,FALSE())</f>
        <v>Mouse</v>
      </c>
      <c r="C6" s="3" t="str">
        <f>VLOOKUP(A6,Products!$A$2:$F$9,3,FALSE())</f>
        <v>Accessories</v>
      </c>
      <c r="D6" s="4">
        <f>VLOOKUP(A6,Products!$A$2:$F$9,4,FALSE())</f>
        <v>1500</v>
      </c>
      <c r="E6" s="3">
        <v>15</v>
      </c>
      <c r="F6" s="4">
        <f>D6*E6</f>
        <v>22500</v>
      </c>
      <c r="G6" s="4">
        <f>VLOOKUP(A6,Products!$A$2:$F$9,4,FALSE())</f>
        <v>1500</v>
      </c>
      <c r="H6" s="3" t="str">
        <f>INDEX(Products!$C$2:$C$9,MATCH(A6,Products!$A$2:$A$9,0))</f>
        <v>Accessories</v>
      </c>
    </row>
    <row r="7" spans="1:8" ht="15" customHeight="1" x14ac:dyDescent="0.2">
      <c r="A7" s="3" t="s">
        <v>13</v>
      </c>
      <c r="B7" s="3" t="str">
        <f>VLOOKUP(A7,Products!$A$2:$F$9,2,FALSE())</f>
        <v>Chair</v>
      </c>
      <c r="C7" s="3" t="str">
        <f>VLOOKUP(A7,Products!$A$2:$F$9,3,FALSE())</f>
        <v>Furniture</v>
      </c>
      <c r="D7" s="4">
        <f>VLOOKUP(A7,Products!$A$2:$F$9,4,FALSE())</f>
        <v>9000</v>
      </c>
      <c r="E7" s="3">
        <v>5</v>
      </c>
      <c r="F7" s="4">
        <f>D7*E7</f>
        <v>45000</v>
      </c>
      <c r="G7" s="4">
        <f>VLOOKUP(A7,Products!$A$2:$F$9,4,FALSE())</f>
        <v>9000</v>
      </c>
      <c r="H7" s="3" t="str">
        <f>INDEX(Products!$C$2:$C$9,MATCH(A7,Products!$A$2:$A$9,0))</f>
        <v>Furniture</v>
      </c>
    </row>
    <row r="8" spans="1:8" ht="15" customHeight="1" x14ac:dyDescent="0.2">
      <c r="A8" s="3" t="s">
        <v>14</v>
      </c>
      <c r="B8" s="3" t="str">
        <f>VLOOKUP(A8,Products!$A$2:$F$9,2,FALSE())</f>
        <v>Headset</v>
      </c>
      <c r="C8" s="3" t="str">
        <f>VLOOKUP(A8,Products!$A$2:$F$9,3,FALSE())</f>
        <v>Accessories</v>
      </c>
      <c r="D8" s="4">
        <f>VLOOKUP(A8,Products!$A$2:$F$9,4,FALSE())</f>
        <v>3500</v>
      </c>
      <c r="E8" s="3">
        <v>12</v>
      </c>
      <c r="F8" s="4">
        <f>D8*E8</f>
        <v>42000</v>
      </c>
      <c r="G8" s="4">
        <f>VLOOKUP(A8,Products!$A$2:$F$9,4,FALSE())</f>
        <v>3500</v>
      </c>
      <c r="H8" s="3" t="str">
        <f>INDEX(Products!$C$2:$C$9,MATCH(A8,Products!$A$2:$A$9,0))</f>
        <v>Accessories</v>
      </c>
    </row>
    <row r="9" spans="1:8" ht="15" customHeight="1" x14ac:dyDescent="0.2">
      <c r="A9" s="3" t="s">
        <v>15</v>
      </c>
      <c r="B9" s="3" t="str">
        <f>VLOOKUP(A9,Products!$A$2:$F$9,2,FALSE())</f>
        <v>Printer</v>
      </c>
      <c r="C9" s="3" t="str">
        <f>VLOOKUP(A9,Products!$A$2:$F$9,3,FALSE())</f>
        <v>Electronics</v>
      </c>
      <c r="D9" s="4">
        <f>VLOOKUP(A9,Products!$A$2:$F$9,4,FALSE())</f>
        <v>22000</v>
      </c>
      <c r="E9" s="3">
        <v>3</v>
      </c>
      <c r="F9" s="4">
        <f>D9*E9</f>
        <v>66000</v>
      </c>
      <c r="G9" s="4">
        <f>VLOOKUP(A9,Products!$A$2:$F$9,4,FALSE())</f>
        <v>22000</v>
      </c>
      <c r="H9" s="3" t="str">
        <f>INDEX(Products!$C$2:$C$9,MATCH(A9,Products!$A$2:$A$9,0))</f>
        <v>Electronics</v>
      </c>
    </row>
    <row r="10" spans="1:8" ht="15" customHeight="1" x14ac:dyDescent="0.2">
      <c r="A10" s="3" t="s">
        <v>11</v>
      </c>
      <c r="B10" s="3" t="str">
        <f>VLOOKUP(A10,Products!$A$2:$F$9,2,FALSE())</f>
        <v>Monitor</v>
      </c>
      <c r="C10" s="3" t="str">
        <f>VLOOKUP(A10,Products!$A$2:$F$9,3,FALSE())</f>
        <v>Electronics</v>
      </c>
      <c r="D10" s="4">
        <f>VLOOKUP(A10,Products!$A$2:$F$9,4,FALSE())</f>
        <v>18000</v>
      </c>
      <c r="E10" s="3">
        <v>7</v>
      </c>
      <c r="F10" s="4">
        <f>D10*E10</f>
        <v>126000</v>
      </c>
      <c r="G10" s="4">
        <f>VLOOKUP(A10,Products!$A$2:$F$9,4,FALSE())</f>
        <v>18000</v>
      </c>
      <c r="H10" s="3" t="str">
        <f>INDEX(Products!$C$2:$C$9,MATCH(A10,Products!$A$2:$A$9,0))</f>
        <v>Electronics</v>
      </c>
    </row>
    <row r="11" spans="1:8" ht="15" customHeight="1" x14ac:dyDescent="0.2">
      <c r="A11" s="3" t="s">
        <v>8</v>
      </c>
      <c r="B11" s="3" t="str">
        <f>VLOOKUP(A11,Products!$A$2:$F$9,2,FALSE())</f>
        <v>Laptop</v>
      </c>
      <c r="C11" s="3" t="str">
        <f>VLOOKUP(A11,Products!$A$2:$F$9,3,FALSE())</f>
        <v>Electronics</v>
      </c>
      <c r="D11" s="4">
        <f>VLOOKUP(A11,Products!$A$2:$F$9,4,FALSE())</f>
        <v>65000</v>
      </c>
      <c r="E11" s="3">
        <v>3</v>
      </c>
      <c r="F11" s="4">
        <f>D11*E11</f>
        <v>195000</v>
      </c>
      <c r="G11" s="4">
        <f>VLOOKUP(A11,Products!$A$2:$F$9,4,FALSE())</f>
        <v>65000</v>
      </c>
      <c r="H11" s="3" t="str">
        <f>INDEX(Products!$C$2:$C$9,MATCH(A11,Products!$A$2:$A$9,0))</f>
        <v>Electronics</v>
      </c>
    </row>
    <row r="12" spans="1:8" ht="15" customHeight="1" x14ac:dyDescent="0.2">
      <c r="A12" s="3" t="s">
        <v>9</v>
      </c>
      <c r="B12" s="3" t="str">
        <f>VLOOKUP(A12,Products!$A$2:$F$9,2,FALSE())</f>
        <v>Keyboard</v>
      </c>
      <c r="C12" s="3" t="str">
        <f>VLOOKUP(A12,Products!$A$2:$F$9,3,FALSE())</f>
        <v>Accessories</v>
      </c>
      <c r="D12" s="4">
        <f>VLOOKUP(A12,Products!$A$2:$F$9,4,FALSE())</f>
        <v>2500</v>
      </c>
      <c r="E12" s="3">
        <v>20</v>
      </c>
      <c r="F12" s="4">
        <f>D12*E12</f>
        <v>50000</v>
      </c>
      <c r="G12" s="4">
        <f>VLOOKUP(A12,Products!$A$2:$F$9,4,FALSE())</f>
        <v>2500</v>
      </c>
      <c r="H12" s="3" t="str">
        <f>INDEX(Products!$C$2:$C$9,MATCH(A12,Products!$A$2:$A$9,0))</f>
        <v>Accessories</v>
      </c>
    </row>
    <row r="13" spans="1:8" ht="15" customHeight="1" x14ac:dyDescent="0.2">
      <c r="A13" s="3" t="s">
        <v>10</v>
      </c>
      <c r="B13" s="3" t="str">
        <f>VLOOKUP(A13,Products!$A$2:$F$9,2,FALSE())</f>
        <v>Desk</v>
      </c>
      <c r="C13" s="3" t="str">
        <f>VLOOKUP(A13,Products!$A$2:$F$9,3,FALSE())</f>
        <v>Furniture</v>
      </c>
      <c r="D13" s="4">
        <f>VLOOKUP(A13,Products!$A$2:$F$9,4,FALSE())</f>
        <v>12000</v>
      </c>
      <c r="E13" s="3">
        <v>6</v>
      </c>
      <c r="F13" s="4">
        <f>D13*E13</f>
        <v>72000</v>
      </c>
      <c r="G13" s="4">
        <f>VLOOKUP(A13,Products!$A$2:$F$9,4,FALSE())</f>
        <v>12000</v>
      </c>
      <c r="H13" s="3" t="str">
        <f>INDEX(Products!$C$2:$C$9,MATCH(A13,Products!$A$2:$A$9,0))</f>
        <v>Furniture</v>
      </c>
    </row>
    <row r="14" spans="1:8" ht="15" customHeight="1" x14ac:dyDescent="0.2">
      <c r="A14" s="3" t="s">
        <v>13</v>
      </c>
      <c r="B14" s="3" t="str">
        <f>VLOOKUP(A14,Products!$A$2:$F$9,2,FALSE())</f>
        <v>Chair</v>
      </c>
      <c r="C14" s="3" t="str">
        <f>VLOOKUP(A14,Products!$A$2:$F$9,3,FALSE())</f>
        <v>Furniture</v>
      </c>
      <c r="D14" s="4">
        <f>VLOOKUP(A14,Products!$A$2:$F$9,4,FALSE())</f>
        <v>9000</v>
      </c>
      <c r="E14" s="3">
        <v>7</v>
      </c>
      <c r="F14" s="4">
        <f>D14*E14</f>
        <v>63000</v>
      </c>
      <c r="G14" s="4">
        <f>VLOOKUP(A14,Products!$A$2:$F$9,4,FALSE())</f>
        <v>9000</v>
      </c>
      <c r="H14" s="3" t="str">
        <f>INDEX(Products!$C$2:$C$9,MATCH(A14,Products!$A$2:$A$9,0))</f>
        <v>Furniture</v>
      </c>
    </row>
    <row r="15" spans="1:8" ht="15" customHeight="1" x14ac:dyDescent="0.2">
      <c r="A15" s="3" t="s">
        <v>15</v>
      </c>
      <c r="B15" s="3" t="str">
        <f>VLOOKUP(A15,Products!$A$2:$F$9,2,FALSE())</f>
        <v>Printer</v>
      </c>
      <c r="C15" s="3" t="str">
        <f>VLOOKUP(A15,Products!$A$2:$F$9,3,FALSE())</f>
        <v>Electronics</v>
      </c>
      <c r="D15" s="4">
        <f>VLOOKUP(A15,Products!$A$2:$F$9,4,FALSE())</f>
        <v>22000</v>
      </c>
      <c r="E15" s="3">
        <v>4</v>
      </c>
      <c r="F15" s="4">
        <f>D15*E15</f>
        <v>88000</v>
      </c>
      <c r="G15" s="4">
        <f>VLOOKUP(A15,Products!$A$2:$F$9,4,FALSE())</f>
        <v>22000</v>
      </c>
      <c r="H15" s="3" t="str">
        <f>INDEX(Products!$C$2:$C$9,MATCH(A15,Products!$A$2:$A$9,0))</f>
        <v>Electronics</v>
      </c>
    </row>
    <row r="16" spans="1:8" ht="15" customHeight="1" x14ac:dyDescent="0.2">
      <c r="A16" s="3" t="s">
        <v>12</v>
      </c>
      <c r="B16" s="3" t="str">
        <f>VLOOKUP(A16,Products!$A$2:$F$9,2,FALSE())</f>
        <v>Mouse</v>
      </c>
      <c r="C16" s="3" t="str">
        <f>VLOOKUP(A16,Products!$A$2:$F$9,3,FALSE())</f>
        <v>Accessories</v>
      </c>
      <c r="D16" s="4">
        <f>VLOOKUP(A16,Products!$A$2:$F$9,4,FALSE())</f>
        <v>1500</v>
      </c>
      <c r="E16" s="3">
        <v>25</v>
      </c>
      <c r="F16" s="4">
        <f>D16*E16</f>
        <v>37500</v>
      </c>
      <c r="G16" s="4">
        <f>VLOOKUP(A16,Products!$A$2:$F$9,4,FALSE())</f>
        <v>1500</v>
      </c>
      <c r="H16" s="3" t="str">
        <f>INDEX(Products!$C$2:$C$9,MATCH(A16,Products!$A$2:$A$9,0))</f>
        <v>Accessories</v>
      </c>
    </row>
    <row r="17" spans="1:8" ht="15" customHeight="1" x14ac:dyDescent="0.2">
      <c r="A17" s="3" t="s">
        <v>14</v>
      </c>
      <c r="B17" s="3" t="str">
        <f>VLOOKUP(A17,Products!$A$2:$F$9,2,FALSE())</f>
        <v>Headset</v>
      </c>
      <c r="C17" s="3" t="str">
        <f>VLOOKUP(A17,Products!$A$2:$F$9,3,FALSE())</f>
        <v>Accessories</v>
      </c>
      <c r="D17" s="4">
        <f>VLOOKUP(A17,Products!$A$2:$F$9,4,FALSE())</f>
        <v>3500</v>
      </c>
      <c r="E17" s="3">
        <v>15</v>
      </c>
      <c r="F17" s="4">
        <f>D17*E17</f>
        <v>52500</v>
      </c>
      <c r="G17" s="4">
        <f>VLOOKUP(A17,Products!$A$2:$F$9,4,FALSE())</f>
        <v>3500</v>
      </c>
      <c r="H17" s="3" t="str">
        <f>INDEX(Products!$C$2:$C$9,MATCH(A17,Products!$A$2:$A$9,0))</f>
        <v>Accessories</v>
      </c>
    </row>
    <row r="18" spans="1:8" ht="15" customHeight="1" x14ac:dyDescent="0.2">
      <c r="A18" s="3" t="s">
        <v>8</v>
      </c>
      <c r="B18" s="3" t="str">
        <f>VLOOKUP(A18,Products!$A$2:$F$9,2,FALSE())</f>
        <v>Laptop</v>
      </c>
      <c r="C18" s="3" t="str">
        <f>VLOOKUP(A18,Products!$A$2:$F$9,3,FALSE())</f>
        <v>Electronics</v>
      </c>
      <c r="D18" s="4">
        <f>VLOOKUP(A18,Products!$A$2:$F$9,4,FALSE())</f>
        <v>65000</v>
      </c>
      <c r="E18" s="3">
        <v>1</v>
      </c>
      <c r="F18" s="4">
        <f>D18*E18</f>
        <v>65000</v>
      </c>
      <c r="G18" s="4">
        <f>VLOOKUP(A18,Products!$A$2:$F$9,4,FALSE())</f>
        <v>65000</v>
      </c>
      <c r="H18" s="3" t="str">
        <f>INDEX(Products!$C$2:$C$9,MATCH(A18,Products!$A$2:$A$9,0))</f>
        <v>Electronics</v>
      </c>
    </row>
    <row r="19" spans="1:8" ht="15" customHeight="1" x14ac:dyDescent="0.2">
      <c r="A19" s="3" t="s">
        <v>11</v>
      </c>
      <c r="B19" s="3" t="str">
        <f>VLOOKUP(A19,Products!$A$2:$F$9,2,FALSE())</f>
        <v>Monitor</v>
      </c>
      <c r="C19" s="3" t="str">
        <f>VLOOKUP(A19,Products!$A$2:$F$9,3,FALSE())</f>
        <v>Electronics</v>
      </c>
      <c r="D19" s="4">
        <f>VLOOKUP(A19,Products!$A$2:$F$9,4,FALSE())</f>
        <v>18000</v>
      </c>
      <c r="E19" s="3">
        <v>10</v>
      </c>
      <c r="F19" s="4">
        <f>D19*E19</f>
        <v>180000</v>
      </c>
      <c r="G19" s="4">
        <f>VLOOKUP(A19,Products!$A$2:$F$9,4,FALSE())</f>
        <v>18000</v>
      </c>
      <c r="H19" s="3" t="str">
        <f>INDEX(Products!$C$2:$C$9,MATCH(A19,Products!$A$2:$A$9,0))</f>
        <v>Electronics</v>
      </c>
    </row>
    <row r="20" spans="1:8" ht="15" customHeight="1" x14ac:dyDescent="0.2">
      <c r="A20" s="3" t="s">
        <v>13</v>
      </c>
      <c r="B20" s="3" t="str">
        <f>VLOOKUP(A20,Products!$A$2:$F$9,2,FALSE())</f>
        <v>Chair</v>
      </c>
      <c r="C20" s="3" t="str">
        <f>VLOOKUP(A20,Products!$A$2:$F$9,3,FALSE())</f>
        <v>Furniture</v>
      </c>
      <c r="D20" s="4">
        <f>VLOOKUP(A20,Products!$A$2:$F$9,4,FALSE())</f>
        <v>9000</v>
      </c>
      <c r="E20" s="3">
        <v>8</v>
      </c>
      <c r="F20" s="4">
        <f>D20*E20</f>
        <v>72000</v>
      </c>
      <c r="G20" s="4">
        <f>VLOOKUP(A20,Products!$A$2:$F$9,4,FALSE())</f>
        <v>9000</v>
      </c>
      <c r="H20" s="3" t="str">
        <f>INDEX(Products!$C$2:$C$9,MATCH(A20,Products!$A$2:$A$9,0))</f>
        <v>Furniture</v>
      </c>
    </row>
    <row r="21" spans="1:8" ht="15" customHeight="1" x14ac:dyDescent="0.2">
      <c r="A21" s="3" t="s">
        <v>9</v>
      </c>
      <c r="B21" s="3" t="str">
        <f>VLOOKUP(A21,Products!$A$2:$F$9,2,FALSE())</f>
        <v>Keyboard</v>
      </c>
      <c r="C21" s="3" t="str">
        <f>VLOOKUP(A21,Products!$A$2:$F$9,3,FALSE())</f>
        <v>Accessories</v>
      </c>
      <c r="D21" s="4">
        <f>VLOOKUP(A21,Products!$A$2:$F$9,4,FALSE())</f>
        <v>2500</v>
      </c>
      <c r="E21" s="3">
        <v>30</v>
      </c>
      <c r="F21" s="4">
        <f>D21*E21</f>
        <v>75000</v>
      </c>
      <c r="G21" s="4">
        <f>VLOOKUP(A21,Products!$A$2:$F$9,4,FALSE())</f>
        <v>2500</v>
      </c>
      <c r="H21" s="3" t="str">
        <f>INDEX(Products!$C$2:$C$9,MATCH(A21,Products!$A$2:$A$9,0))</f>
        <v>Accessories</v>
      </c>
    </row>
    <row r="22" spans="1:8" ht="15" customHeight="1" x14ac:dyDescent="0.2">
      <c r="A22" s="3" t="s">
        <v>15</v>
      </c>
      <c r="B22" s="3" t="str">
        <f>VLOOKUP(A22,Products!$A$2:$F$9,2,FALSE())</f>
        <v>Printer</v>
      </c>
      <c r="C22" s="3" t="str">
        <f>VLOOKUP(A22,Products!$A$2:$F$9,3,FALSE())</f>
        <v>Electronics</v>
      </c>
      <c r="D22" s="4">
        <f>VLOOKUP(A22,Products!$A$2:$F$9,4,FALSE())</f>
        <v>22000</v>
      </c>
      <c r="E22" s="3">
        <v>5</v>
      </c>
      <c r="F22" s="4">
        <f>D22*E22</f>
        <v>110000</v>
      </c>
      <c r="G22" s="4">
        <f>VLOOKUP(A22,Products!$A$2:$F$9,4,FALSE())</f>
        <v>22000</v>
      </c>
      <c r="H22" s="3" t="str">
        <f>INDEX(Products!$C$2:$C$9,MATCH(A22,Products!$A$2:$A$9,0))</f>
        <v>Electronics</v>
      </c>
    </row>
    <row r="23" spans="1:8" ht="15" customHeight="1" x14ac:dyDescent="0.2">
      <c r="A23" s="3" t="s">
        <v>12</v>
      </c>
      <c r="B23" s="3" t="str">
        <f>VLOOKUP(A23,Products!$A$2:$F$9,2,FALSE())</f>
        <v>Mouse</v>
      </c>
      <c r="C23" s="3" t="str">
        <f>VLOOKUP(A23,Products!$A$2:$F$9,3,FALSE())</f>
        <v>Accessories</v>
      </c>
      <c r="D23" s="4">
        <f>VLOOKUP(A23,Products!$A$2:$F$9,4,FALSE())</f>
        <v>1500</v>
      </c>
      <c r="E23" s="3">
        <v>40</v>
      </c>
      <c r="F23" s="4">
        <f>D23*E23</f>
        <v>60000</v>
      </c>
      <c r="G23" s="4">
        <f>VLOOKUP(A23,Products!$A$2:$F$9,4,FALSE())</f>
        <v>1500</v>
      </c>
      <c r="H23" s="3" t="str">
        <f>INDEX(Products!$C$2:$C$9,MATCH(A23,Products!$A$2:$A$9,0))</f>
        <v>Accessories</v>
      </c>
    </row>
    <row r="24" spans="1:8" ht="15" customHeight="1" x14ac:dyDescent="0.2">
      <c r="A24" s="3" t="s">
        <v>10</v>
      </c>
      <c r="B24" s="3" t="str">
        <f>VLOOKUP(A24,Products!$A$2:$F$9,2,FALSE())</f>
        <v>Desk</v>
      </c>
      <c r="C24" s="3" t="str">
        <f>VLOOKUP(A24,Products!$A$2:$F$9,3,FALSE())</f>
        <v>Furniture</v>
      </c>
      <c r="D24" s="4">
        <f>VLOOKUP(A24,Products!$A$2:$F$9,4,FALSE())</f>
        <v>12000</v>
      </c>
      <c r="E24" s="3">
        <v>5</v>
      </c>
      <c r="F24" s="4">
        <f>D24*E24</f>
        <v>60000</v>
      </c>
      <c r="G24" s="4">
        <f>VLOOKUP(A24,Products!$A$2:$F$9,4,FALSE())</f>
        <v>12000</v>
      </c>
      <c r="H24" s="3" t="str">
        <f>INDEX(Products!$C$2:$C$9,MATCH(A24,Products!$A$2:$A$9,0))</f>
        <v>Furniture</v>
      </c>
    </row>
    <row r="25" spans="1:8" ht="15" customHeight="1" x14ac:dyDescent="0.2">
      <c r="A25" s="3" t="s">
        <v>8</v>
      </c>
      <c r="B25" s="3" t="str">
        <f>VLOOKUP(A25,Products!$A$2:$F$9,2,FALSE())</f>
        <v>Laptop</v>
      </c>
      <c r="C25" s="3" t="str">
        <f>VLOOKUP(A25,Products!$A$2:$F$9,3,FALSE())</f>
        <v>Electronics</v>
      </c>
      <c r="D25" s="4">
        <f>VLOOKUP(A25,Products!$A$2:$F$9,4,FALSE())</f>
        <v>65000</v>
      </c>
      <c r="E25" s="3">
        <v>2</v>
      </c>
      <c r="F25" s="4">
        <f>D25*E25</f>
        <v>130000</v>
      </c>
      <c r="G25" s="4">
        <f>VLOOKUP(A25,Products!$A$2:$F$9,4,FALSE())</f>
        <v>65000</v>
      </c>
      <c r="H25" s="3" t="str">
        <f>INDEX(Products!$C$2:$C$9,MATCH(A25,Products!$A$2:$A$9,0))</f>
        <v>Electronics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/>
  </sheetViews>
  <sheetFormatPr defaultColWidth="8.7421875" defaultRowHeight="15" customHeight="1" x14ac:dyDescent="0.2"/>
  <cols>
    <col min="1" max="1" width="11.97265625" style="1" customWidth="1"/>
    <col min="2" max="2" width="9.953125" style="1" customWidth="1"/>
    <col min="3" max="3" width="13.046875" style="1" customWidth="1"/>
    <col min="4" max="4" width="11.97265625" style="1" customWidth="1"/>
    <col min="5" max="6" width="9.953125" style="1" customWidth="1"/>
  </cols>
  <sheetData>
    <row r="1" spans="1:6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17</v>
      </c>
    </row>
    <row r="2" spans="1:6" ht="15" customHeight="1" x14ac:dyDescent="0.2">
      <c r="A2" s="3" t="s">
        <v>8</v>
      </c>
      <c r="B2" s="3" t="s">
        <v>18</v>
      </c>
      <c r="C2" s="3" t="s">
        <v>19</v>
      </c>
      <c r="D2" s="4">
        <v>65000</v>
      </c>
      <c r="E2" s="3">
        <v>12</v>
      </c>
      <c r="F2" s="5">
        <v>0.12</v>
      </c>
    </row>
    <row r="3" spans="1:6" ht="15" customHeight="1" x14ac:dyDescent="0.2">
      <c r="A3" s="3" t="s">
        <v>11</v>
      </c>
      <c r="B3" s="3" t="s">
        <v>20</v>
      </c>
      <c r="C3" s="3" t="s">
        <v>19</v>
      </c>
      <c r="D3" s="4">
        <v>18000</v>
      </c>
      <c r="E3" s="3">
        <v>25</v>
      </c>
      <c r="F3" s="5">
        <v>0.08</v>
      </c>
    </row>
    <row r="4" spans="1:6" ht="15" customHeight="1" x14ac:dyDescent="0.2">
      <c r="A4" s="3" t="s">
        <v>9</v>
      </c>
      <c r="B4" s="3" t="s">
        <v>21</v>
      </c>
      <c r="C4" s="3" t="s">
        <v>22</v>
      </c>
      <c r="D4" s="4">
        <v>2500</v>
      </c>
      <c r="E4" s="3">
        <v>60</v>
      </c>
      <c r="F4" s="5">
        <v>0.05</v>
      </c>
    </row>
    <row r="5" spans="1:6" ht="15" customHeight="1" x14ac:dyDescent="0.2">
      <c r="A5" s="3" t="s">
        <v>12</v>
      </c>
      <c r="B5" s="3" t="s">
        <v>23</v>
      </c>
      <c r="C5" s="3" t="s">
        <v>22</v>
      </c>
      <c r="D5" s="4">
        <v>1500</v>
      </c>
      <c r="E5" s="3">
        <v>85</v>
      </c>
      <c r="F5" s="5">
        <v>0.04</v>
      </c>
    </row>
    <row r="6" spans="1:6" ht="15" customHeight="1" x14ac:dyDescent="0.2">
      <c r="A6" s="3" t="s">
        <v>10</v>
      </c>
      <c r="B6" s="3" t="s">
        <v>24</v>
      </c>
      <c r="C6" s="3" t="s">
        <v>25</v>
      </c>
      <c r="D6" s="4">
        <v>12000</v>
      </c>
      <c r="E6" s="3">
        <v>18</v>
      </c>
      <c r="F6" s="5">
        <v>0.1</v>
      </c>
    </row>
    <row r="7" spans="1:6" ht="15" customHeight="1" x14ac:dyDescent="0.2">
      <c r="A7" s="3" t="s">
        <v>13</v>
      </c>
      <c r="B7" s="3" t="s">
        <v>26</v>
      </c>
      <c r="C7" s="3" t="s">
        <v>25</v>
      </c>
      <c r="D7" s="4">
        <v>9000</v>
      </c>
      <c r="E7" s="3">
        <v>22</v>
      </c>
      <c r="F7" s="5">
        <v>0.09</v>
      </c>
    </row>
    <row r="8" spans="1:6" ht="15" customHeight="1" x14ac:dyDescent="0.2">
      <c r="A8" s="3" t="s">
        <v>14</v>
      </c>
      <c r="B8" s="3" t="s">
        <v>27</v>
      </c>
      <c r="C8" s="3" t="s">
        <v>22</v>
      </c>
      <c r="D8" s="4">
        <v>3500</v>
      </c>
      <c r="E8" s="3">
        <v>40</v>
      </c>
      <c r="F8" s="5">
        <v>0.06</v>
      </c>
    </row>
    <row r="9" spans="1:6" ht="15" customHeight="1" x14ac:dyDescent="0.2">
      <c r="A9" s="3" t="s">
        <v>15</v>
      </c>
      <c r="B9" s="3" t="s">
        <v>28</v>
      </c>
      <c r="C9" s="3" t="s">
        <v>19</v>
      </c>
      <c r="D9" s="4">
        <v>22000</v>
      </c>
      <c r="E9" s="3">
        <v>14</v>
      </c>
      <c r="F9" s="5">
        <v>0.11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2026-09-30T09:09:35Z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2026-09-21T17:43:55Z</dcterms:modified>
  <cp:revision>0</cp:revision>
  <dc:subject/>
  <dc:title/>
</cp:coreProperties>
</file>