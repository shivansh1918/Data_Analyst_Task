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me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3615914F-9D3C-8E44-9E7A-93652E7F3889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Conditional Calculation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D24" i="1"/>
  <c r="E24" i="1"/>
  <c r="F24" i="1"/>
  <c r="G24" i="1"/>
  <c r="D23" i="1"/>
  <c r="E23" i="1"/>
  <c r="F23" i="1"/>
  <c r="G23" i="1"/>
  <c r="D22" i="1"/>
  <c r="E22" i="1"/>
  <c r="F22" i="1"/>
  <c r="G22" i="1"/>
  <c r="D21" i="1"/>
  <c r="E21" i="1"/>
  <c r="F21" i="1"/>
  <c r="G21" i="1"/>
  <c r="D20" i="1"/>
  <c r="E20" i="1"/>
  <c r="F20" i="1"/>
  <c r="G20" i="1"/>
  <c r="D19" i="1"/>
  <c r="E19" i="1"/>
  <c r="F19" i="1"/>
  <c r="G19" i="1"/>
  <c r="D18" i="1"/>
  <c r="E18" i="1"/>
  <c r="F18" i="1"/>
  <c r="G18" i="1"/>
  <c r="D17" i="1"/>
  <c r="E17" i="1"/>
  <c r="F17" i="1"/>
  <c r="G17" i="1"/>
  <c r="D16" i="1"/>
  <c r="E16" i="1"/>
  <c r="F16" i="1"/>
  <c r="G16" i="1"/>
  <c r="D15" i="1"/>
  <c r="E15" i="1"/>
  <c r="F15" i="1"/>
  <c r="G15" i="1"/>
  <c r="D14" i="1"/>
  <c r="E14" i="1"/>
  <c r="F14" i="1"/>
  <c r="G14" i="1"/>
  <c r="D13" i="1"/>
  <c r="E13" i="1"/>
  <c r="F13" i="1"/>
  <c r="G13" i="1"/>
  <c r="D12" i="1"/>
  <c r="E12" i="1"/>
  <c r="F12" i="1"/>
  <c r="G12" i="1"/>
  <c r="D11" i="1"/>
  <c r="E11" i="1"/>
  <c r="F11" i="1"/>
  <c r="G11" i="1"/>
  <c r="D10" i="1"/>
  <c r="E10" i="1"/>
  <c r="F10" i="1"/>
  <c r="G10" i="1"/>
  <c r="D9" i="1"/>
  <c r="E9" i="1"/>
  <c r="F9" i="1"/>
  <c r="G9" i="1"/>
  <c r="D8" i="1"/>
  <c r="E8" i="1"/>
  <c r="F8" i="1"/>
  <c r="G8" i="1"/>
  <c r="D7" i="1"/>
  <c r="E7" i="1"/>
  <c r="F7" i="1"/>
  <c r="G7" i="1"/>
  <c r="D6" i="1"/>
  <c r="E6" i="1"/>
  <c r="F6" i="1"/>
  <c r="G6" i="1"/>
  <c r="D2" i="1"/>
  <c r="J5" i="1"/>
  <c r="D5" i="1"/>
  <c r="E5" i="1"/>
  <c r="F5" i="1"/>
  <c r="G5" i="1"/>
  <c r="D3" i="1"/>
  <c r="D4" i="1"/>
  <c r="J4" i="1"/>
  <c r="E4" i="1"/>
  <c r="F4" i="1"/>
  <c r="G4" i="1"/>
  <c r="J3" i="1"/>
  <c r="E3" i="1"/>
  <c r="F3" i="1"/>
  <c r="G3" i="1"/>
  <c r="J2" i="1"/>
  <c r="E2" i="1"/>
  <c r="F2" i="1"/>
  <c r="G2" i="1"/>
</calcChain>
</file>

<file path=xl/sharedStrings.xml><?xml version="1.0" encoding="utf-8"?>
<sst xmlns="http://schemas.openxmlformats.org/spreadsheetml/2006/main" count="36" uniqueCount="16">
  <si>
    <t>Region</t>
  </si>
  <si>
    <t>Units</t>
  </si>
  <si>
    <t>Unit Price</t>
  </si>
  <si>
    <t>Revenue</t>
  </si>
  <si>
    <t>Discount</t>
  </si>
  <si>
    <t>Net Revenue</t>
  </si>
  <si>
    <t>Commission</t>
  </si>
  <si>
    <t>Conditional Calculations</t>
  </si>
  <si>
    <t>North</t>
  </si>
  <si>
    <t>North Revenue</t>
  </si>
  <si>
    <t>West</t>
  </si>
  <si>
    <t>West Revenue</t>
  </si>
  <si>
    <t>South</t>
  </si>
  <si>
    <t>High-Value Transactions</t>
  </si>
  <si>
    <t>East</t>
  </si>
  <si>
    <t>Average North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</si>
</sst>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0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Normal="100" workbookViewId="0"/>
  </sheetViews>
  <sheetFormatPr defaultColWidth="8.7421875" defaultRowHeight="15" customHeight="1" x14ac:dyDescent="0.2"/>
  <cols>
    <col min="1" max="2" width="9.953125" customWidth="1"/>
    <col min="3" max="3" width="11.97265625" customWidth="1"/>
    <col min="4" max="4" width="9.953125" customWidth="1"/>
    <col min="5" max="5" width="29.99609375" customWidth="1"/>
    <col min="6" max="6" width="13.98828125" customWidth="1"/>
    <col min="7" max="7" width="11.97265625" customWidth="1"/>
    <col min="8" max="8" width="9.953125" customWidth="1"/>
    <col min="9" max="9" width="25.9609375" customWidth="1"/>
    <col min="10" max="10" width="29.99609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spans="1:10" x14ac:dyDescent="0.2">
      <c r="A2" s="3" t="s">
        <v>8</v>
      </c>
      <c r="B2" s="3">
        <v>2</v>
      </c>
      <c r="C2" s="4">
        <v>65000</v>
      </c>
      <c r="D2" s="4">
        <f>B2*C2</f>
        <v>130000</v>
      </c>
      <c r="E2" s="5">
        <f>IF(D2&gt;=100000,10%,IF(D2&gt;=50000,5%,2%))</f>
        <v>0.1</v>
      </c>
      <c r="F2" s="4">
        <f>D2*(1-E2)</f>
        <v>117000</v>
      </c>
      <c r="G2" s="4">
        <f>F2*3%</f>
        <v>3510</v>
      </c>
      <c r="I2" t="s">
        <v>9</v>
      </c>
      <c r="J2">
        <f>SUMIF(A2:A25,"North",D2:D25)</f>
        <v>516500</v>
      </c>
    </row>
    <row r="3" spans="1:10" x14ac:dyDescent="0.2">
      <c r="A3" s="3" t="s">
        <v>10</v>
      </c>
      <c r="B3" s="3">
        <v>10</v>
      </c>
      <c r="C3" s="4">
        <v>2500</v>
      </c>
      <c r="D3" s="4">
        <f>B3*C3</f>
        <v>25000</v>
      </c>
      <c r="E3" s="5">
        <f>IF(D3&gt;=100000,10%,IF(D3&gt;=50000,5%,2%))</f>
        <v>0.02</v>
      </c>
      <c r="F3" s="4">
        <f>D3*(1-E3)</f>
        <v>24500</v>
      </c>
      <c r="G3" s="4">
        <f>F3*3%</f>
        <v>735</v>
      </c>
      <c r="I3" t="s">
        <v>11</v>
      </c>
      <c r="J3">
        <f>SUMIF(A2:A25,"West",D2:D25)</f>
        <v>593000</v>
      </c>
    </row>
    <row r="4" spans="1:10" x14ac:dyDescent="0.2">
      <c r="A4" s="3" t="s">
        <v>12</v>
      </c>
      <c r="B4" s="3">
        <v>4</v>
      </c>
      <c r="C4" s="4">
        <v>12000</v>
      </c>
      <c r="D4" s="4">
        <f>B4*C4</f>
        <v>48000</v>
      </c>
      <c r="E4" s="5">
        <f>IF(D4&gt;=100000,10%,IF(D4&gt;=50000,5%,2%))</f>
        <v>0.02</v>
      </c>
      <c r="F4" s="4">
        <f>D4*(1-E4)</f>
        <v>47040</v>
      </c>
      <c r="G4" s="4">
        <f>F4*3%</f>
        <v>1411.2</v>
      </c>
      <c r="I4" t="s">
        <v>13</v>
      </c>
      <c r="J4">
        <f>COUNTIF(D2:D25,"&gt;=50000")</f>
        <v>18</v>
      </c>
    </row>
    <row r="5" spans="1:10" x14ac:dyDescent="0.2">
      <c r="A5" s="3" t="s">
        <v>14</v>
      </c>
      <c r="B5" s="3">
        <v>8</v>
      </c>
      <c r="C5" s="4">
        <v>18000</v>
      </c>
      <c r="D5" s="4">
        <f>B5*C5</f>
        <v>144000</v>
      </c>
      <c r="E5" s="5">
        <f>IF(D5&gt;=100000,10%,IF(D5&gt;=50000,5%,2%))</f>
        <v>0.1</v>
      </c>
      <c r="F5" s="4">
        <f>D5*(1-E5)</f>
        <v>129600</v>
      </c>
      <c r="G5" s="4">
        <f>F5*3%</f>
        <v>3888</v>
      </c>
      <c r="I5" t="s">
        <v>15</v>
      </c>
      <c r="J5">
        <f>AVERAGEIF(A2:A25,"North",D2:D25)</f>
        <v>86083.333333333328</v>
      </c>
    </row>
    <row r="6" spans="1:10" x14ac:dyDescent="0.2">
      <c r="A6" s="3" t="s">
        <v>8</v>
      </c>
      <c r="B6" s="3">
        <v>15</v>
      </c>
      <c r="C6" s="4">
        <v>1500</v>
      </c>
      <c r="D6" s="4">
        <f>B6*C6</f>
        <v>22500</v>
      </c>
      <c r="E6" s="5">
        <f>IF(D6&gt;=100000,10%,IF(D6&gt;=50000,5%,2%))</f>
        <v>0.02</v>
      </c>
      <c r="F6" s="4">
        <f>D6*(1-E6)</f>
        <v>22050</v>
      </c>
      <c r="G6" s="4">
        <f>F6*3%</f>
        <v>661.5</v>
      </c>
    </row>
    <row r="7" spans="1:10" x14ac:dyDescent="0.2">
      <c r="A7" s="3" t="s">
        <v>10</v>
      </c>
      <c r="B7" s="3">
        <v>5</v>
      </c>
      <c r="C7" s="4">
        <v>9000</v>
      </c>
      <c r="D7" s="4">
        <f>B7*C7</f>
        <v>45000</v>
      </c>
      <c r="E7" s="5">
        <f>IF(D7&gt;=100000,10%,IF(D7&gt;=50000,5%,2%))</f>
        <v>0.02</v>
      </c>
      <c r="F7" s="4">
        <f>D7*(1-E7)</f>
        <v>44100</v>
      </c>
      <c r="G7" s="4">
        <f>F7*3%</f>
        <v>1323</v>
      </c>
    </row>
    <row r="8" spans="1:10" x14ac:dyDescent="0.2">
      <c r="A8" s="3" t="s">
        <v>12</v>
      </c>
      <c r="B8" s="3">
        <v>12</v>
      </c>
      <c r="C8" s="4">
        <v>3500</v>
      </c>
      <c r="D8" s="4">
        <f>B8*C8</f>
        <v>42000</v>
      </c>
      <c r="E8" s="5">
        <f>IF(D8&gt;=100000,10%,IF(D8&gt;=50000,5%,2%))</f>
        <v>0.02</v>
      </c>
      <c r="F8" s="4">
        <f>D8*(1-E8)</f>
        <v>41160</v>
      </c>
      <c r="G8" s="4">
        <f>F8*3%</f>
        <v>1234.8</v>
      </c>
    </row>
    <row r="9" spans="1:10" x14ac:dyDescent="0.2">
      <c r="A9" s="3" t="s">
        <v>14</v>
      </c>
      <c r="B9" s="3">
        <v>3</v>
      </c>
      <c r="C9" s="4">
        <v>22000</v>
      </c>
      <c r="D9" s="4">
        <f>B9*C9</f>
        <v>66000</v>
      </c>
      <c r="E9" s="5">
        <f>IF(D9&gt;=100000,10%,IF(D9&gt;=50000,5%,2%))</f>
        <v>0.05</v>
      </c>
      <c r="F9" s="4">
        <f>D9*(1-E9)</f>
        <v>62700</v>
      </c>
      <c r="G9" s="4">
        <f>F9*3%</f>
        <v>1881</v>
      </c>
    </row>
    <row r="10" spans="1:10" x14ac:dyDescent="0.2">
      <c r="A10" s="3" t="s">
        <v>8</v>
      </c>
      <c r="B10" s="3">
        <v>7</v>
      </c>
      <c r="C10" s="4">
        <v>18000</v>
      </c>
      <c r="D10" s="4">
        <f>B10*C10</f>
        <v>126000</v>
      </c>
      <c r="E10" s="5">
        <f>IF(D10&gt;=100000,10%,IF(D10&gt;=50000,5%,2%))</f>
        <v>0.1</v>
      </c>
      <c r="F10" s="4">
        <f>D10*(1-E10)</f>
        <v>113400</v>
      </c>
      <c r="G10" s="4">
        <f>F10*3%</f>
        <v>3402</v>
      </c>
    </row>
    <row r="11" spans="1:10" x14ac:dyDescent="0.2">
      <c r="A11" s="3" t="s">
        <v>10</v>
      </c>
      <c r="B11" s="3">
        <v>3</v>
      </c>
      <c r="C11" s="4">
        <v>65000</v>
      </c>
      <c r="D11" s="4">
        <f>B11*C11</f>
        <v>195000</v>
      </c>
      <c r="E11" s="5">
        <f>IF(D11&gt;=100000,10%,IF(D11&gt;=50000,5%,2%))</f>
        <v>0.1</v>
      </c>
      <c r="F11" s="4">
        <f>D11*(1-E11)</f>
        <v>175500</v>
      </c>
      <c r="G11" s="4">
        <f>F11*3%</f>
        <v>5265</v>
      </c>
    </row>
    <row r="12" spans="1:10" x14ac:dyDescent="0.2">
      <c r="A12" s="3" t="s">
        <v>12</v>
      </c>
      <c r="B12" s="3">
        <v>20</v>
      </c>
      <c r="C12" s="4">
        <v>2500</v>
      </c>
      <c r="D12" s="4">
        <f>B12*C12</f>
        <v>50000</v>
      </c>
      <c r="E12" s="5">
        <f>IF(D12&gt;=100000,10%,IF(D12&gt;=50000,5%,2%))</f>
        <v>0.05</v>
      </c>
      <c r="F12" s="4">
        <f>D12*(1-E12)</f>
        <v>47500</v>
      </c>
      <c r="G12" s="4">
        <f>F12*3%</f>
        <v>1425</v>
      </c>
    </row>
    <row r="13" spans="1:10" x14ac:dyDescent="0.2">
      <c r="A13" s="3" t="s">
        <v>14</v>
      </c>
      <c r="B13" s="3">
        <v>6</v>
      </c>
      <c r="C13" s="4">
        <v>12000</v>
      </c>
      <c r="D13" s="4">
        <f>B13*C13</f>
        <v>72000</v>
      </c>
      <c r="E13" s="5">
        <f>IF(D13&gt;=100000,10%,IF(D13&gt;=50000,5%,2%))</f>
        <v>0.05</v>
      </c>
      <c r="F13" s="4">
        <f>D13*(1-E13)</f>
        <v>68400</v>
      </c>
      <c r="G13" s="4">
        <f>F13*3%</f>
        <v>2052</v>
      </c>
    </row>
    <row r="14" spans="1:10" x14ac:dyDescent="0.2">
      <c r="A14" s="3" t="s">
        <v>8</v>
      </c>
      <c r="B14" s="3">
        <v>7</v>
      </c>
      <c r="C14" s="4">
        <v>9000</v>
      </c>
      <c r="D14" s="4">
        <f>B14*C14</f>
        <v>63000</v>
      </c>
      <c r="E14" s="5">
        <f>IF(D14&gt;=100000,10%,IF(D14&gt;=50000,5%,2%))</f>
        <v>0.05</v>
      </c>
      <c r="F14" s="4">
        <f>D14*(1-E14)</f>
        <v>59850</v>
      </c>
      <c r="G14" s="4">
        <f>F14*3%</f>
        <v>1795.5</v>
      </c>
    </row>
    <row r="15" spans="1:10" x14ac:dyDescent="0.2">
      <c r="A15" s="3" t="s">
        <v>10</v>
      </c>
      <c r="B15" s="3">
        <v>4</v>
      </c>
      <c r="C15" s="4">
        <v>22000</v>
      </c>
      <c r="D15" s="4">
        <f>B15*C15</f>
        <v>88000</v>
      </c>
      <c r="E15" s="5">
        <f>IF(D15&gt;=100000,10%,IF(D15&gt;=50000,5%,2%))</f>
        <v>0.05</v>
      </c>
      <c r="F15" s="4">
        <f>D15*(1-E15)</f>
        <v>83600</v>
      </c>
      <c r="G15" s="4">
        <f>F15*3%</f>
        <v>2508</v>
      </c>
    </row>
    <row r="16" spans="1:10" x14ac:dyDescent="0.2">
      <c r="A16" s="3" t="s">
        <v>12</v>
      </c>
      <c r="B16" s="3">
        <v>25</v>
      </c>
      <c r="C16" s="4">
        <v>1500</v>
      </c>
      <c r="D16" s="4">
        <f>B16*C16</f>
        <v>37500</v>
      </c>
      <c r="E16" s="5">
        <f>IF(D16&gt;=100000,10%,IF(D16&gt;=50000,5%,2%))</f>
        <v>0.02</v>
      </c>
      <c r="F16" s="4">
        <f>D16*(1-E16)</f>
        <v>36750</v>
      </c>
      <c r="G16" s="4">
        <f>F16*3%</f>
        <v>1102.5</v>
      </c>
    </row>
    <row r="17" spans="1:7" x14ac:dyDescent="0.2">
      <c r="A17" s="3" t="s">
        <v>14</v>
      </c>
      <c r="B17" s="3">
        <v>15</v>
      </c>
      <c r="C17" s="4">
        <v>3500</v>
      </c>
      <c r="D17" s="4">
        <f>B17*C17</f>
        <v>52500</v>
      </c>
      <c r="E17" s="5">
        <f>IF(D17&gt;=100000,10%,IF(D17&gt;=50000,5%,2%))</f>
        <v>0.05</v>
      </c>
      <c r="F17" s="4">
        <f>D17*(1-E17)</f>
        <v>49875</v>
      </c>
      <c r="G17" s="4">
        <f>F17*3%</f>
        <v>1496.25</v>
      </c>
    </row>
    <row r="18" spans="1:7" x14ac:dyDescent="0.2">
      <c r="A18" s="3" t="s">
        <v>8</v>
      </c>
      <c r="B18" s="3">
        <v>1</v>
      </c>
      <c r="C18" s="4">
        <v>65000</v>
      </c>
      <c r="D18" s="4">
        <f>B18*C18</f>
        <v>65000</v>
      </c>
      <c r="E18" s="5">
        <f>IF(D18&gt;=100000,10%,IF(D18&gt;=50000,5%,2%))</f>
        <v>0.05</v>
      </c>
      <c r="F18" s="4">
        <f>D18*(1-E18)</f>
        <v>61750</v>
      </c>
      <c r="G18" s="4">
        <f>F18*3%</f>
        <v>1852.5</v>
      </c>
    </row>
    <row r="19" spans="1:7" x14ac:dyDescent="0.2">
      <c r="A19" s="3" t="s">
        <v>10</v>
      </c>
      <c r="B19" s="3">
        <v>10</v>
      </c>
      <c r="C19" s="4">
        <v>18000</v>
      </c>
      <c r="D19" s="4">
        <f>B19*C19</f>
        <v>180000</v>
      </c>
      <c r="E19" s="5">
        <f>IF(D19&gt;=100000,10%,IF(D19&gt;=50000,5%,2%))</f>
        <v>0.1</v>
      </c>
      <c r="F19" s="4">
        <f>D19*(1-E19)</f>
        <v>162000</v>
      </c>
      <c r="G19" s="4">
        <f>F19*3%</f>
        <v>4860</v>
      </c>
    </row>
    <row r="20" spans="1:7" x14ac:dyDescent="0.2">
      <c r="A20" s="3" t="s">
        <v>12</v>
      </c>
      <c r="B20" s="3">
        <v>8</v>
      </c>
      <c r="C20" s="4">
        <v>9000</v>
      </c>
      <c r="D20" s="4">
        <f>B20*C20</f>
        <v>72000</v>
      </c>
      <c r="E20" s="5">
        <f>IF(D20&gt;=100000,10%,IF(D20&gt;=50000,5%,2%))</f>
        <v>0.05</v>
      </c>
      <c r="F20" s="4">
        <f>D20*(1-E20)</f>
        <v>68400</v>
      </c>
      <c r="G20" s="4">
        <f>F20*3%</f>
        <v>2052</v>
      </c>
    </row>
    <row r="21" spans="1:7" x14ac:dyDescent="0.2">
      <c r="A21" s="3" t="s">
        <v>14</v>
      </c>
      <c r="B21" s="3">
        <v>30</v>
      </c>
      <c r="C21" s="4">
        <v>2500</v>
      </c>
      <c r="D21" s="4">
        <f>B21*C21</f>
        <v>75000</v>
      </c>
      <c r="E21" s="5">
        <f>IF(D21&gt;=100000,10%,IF(D21&gt;=50000,5%,2%))</f>
        <v>0.05</v>
      </c>
      <c r="F21" s="4">
        <f>D21*(1-E21)</f>
        <v>71250</v>
      </c>
      <c r="G21" s="4">
        <f>F21*3%</f>
        <v>2137.5</v>
      </c>
    </row>
    <row r="22" spans="1:7" x14ac:dyDescent="0.2">
      <c r="A22" s="3" t="s">
        <v>8</v>
      </c>
      <c r="B22" s="3">
        <v>5</v>
      </c>
      <c r="C22" s="4">
        <v>22000</v>
      </c>
      <c r="D22" s="4">
        <f>B22*C22</f>
        <v>110000</v>
      </c>
      <c r="E22" s="5">
        <f>IF(D22&gt;=100000,10%,IF(D22&gt;=50000,5%,2%))</f>
        <v>0.1</v>
      </c>
      <c r="F22" s="4">
        <f>D22*(1-E22)</f>
        <v>99000</v>
      </c>
      <c r="G22" s="4">
        <f>F22*3%</f>
        <v>2970</v>
      </c>
    </row>
    <row r="23" spans="1:7" x14ac:dyDescent="0.2">
      <c r="A23" s="3" t="s">
        <v>10</v>
      </c>
      <c r="B23" s="3">
        <v>40</v>
      </c>
      <c r="C23" s="4">
        <v>1500</v>
      </c>
      <c r="D23" s="4">
        <f>B23*C23</f>
        <v>60000</v>
      </c>
      <c r="E23" s="5">
        <f>IF(D23&gt;=100000,10%,IF(D23&gt;=50000,5%,2%))</f>
        <v>0.05</v>
      </c>
      <c r="F23" s="4">
        <f>D23*(1-E23)</f>
        <v>57000</v>
      </c>
      <c r="G23" s="4">
        <f>F23*3%</f>
        <v>1710</v>
      </c>
    </row>
    <row r="24" spans="1:7" x14ac:dyDescent="0.2">
      <c r="A24" s="3" t="s">
        <v>12</v>
      </c>
      <c r="B24" s="3">
        <v>5</v>
      </c>
      <c r="C24" s="4">
        <v>12000</v>
      </c>
      <c r="D24" s="4">
        <f>B24*C24</f>
        <v>60000</v>
      </c>
      <c r="E24" s="5">
        <f>IF(D24&gt;=100000,10%,IF(D24&gt;=50000,5%,2%))</f>
        <v>0.05</v>
      </c>
      <c r="F24" s="4">
        <f>D24*(1-E24)</f>
        <v>57000</v>
      </c>
      <c r="G24" s="4">
        <f>F24*3%</f>
        <v>1710</v>
      </c>
    </row>
    <row r="25" spans="1:7" x14ac:dyDescent="0.2">
      <c r="A25" s="3" t="s">
        <v>14</v>
      </c>
      <c r="B25" s="3">
        <v>2</v>
      </c>
      <c r="C25" s="4">
        <v>65000</v>
      </c>
      <c r="D25" s="4">
        <f>B25*C25</f>
        <v>130000</v>
      </c>
      <c r="E25" s="5">
        <f>IF(D25&gt;=100000,10%,IF(D25&gt;=50000,5%,2%))</f>
        <v>0.1</v>
      </c>
      <c r="F25" s="4">
        <f>D25*(1-E25)</f>
        <v>117000</v>
      </c>
      <c r="G25" s="4">
        <f>F25*3%</f>
        <v>3510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Vashishth</dc:creator>
  <dcterms:created xsi:type="dcterms:W3CDTF">2026-09-30T09:11:12Z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