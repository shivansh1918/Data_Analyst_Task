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5987c18a6e99611f/Documents/MCA/1ST SEM/IIOT/"/>
    </mc:Choice>
  </mc:AlternateContent>
  <xr:revisionPtr revIDLastSave="3" documentId="8_{7E911943-B2E8-4C6A-A1AB-3F6E7492384F}" xr6:coauthVersionLast="47" xr6:coauthVersionMax="47" xr10:uidLastSave="{2116EB4D-E8F0-4E8C-96B7-695B8F60C578}"/>
  <bookViews>
    <workbookView xWindow="-110" yWindow="-110" windowWidth="19420" windowHeight="12220" activeTab="3" xr2:uid="{807F4BA9-264C-42DA-B06C-469F7F24EBB8}"/>
  </bookViews>
  <sheets>
    <sheet name="SECTION A" sheetId="1" r:id="rId1"/>
    <sheet name="SECTION B" sheetId="3" r:id="rId2"/>
    <sheet name="SECTION C" sheetId="4" r:id="rId3"/>
    <sheet name="SECTION D" sheetId="5" r:id="rId4"/>
  </sheets>
  <definedNames>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3" i="4" l="1"/>
  <c r="Z4" i="4"/>
  <c r="Z5" i="4"/>
  <c r="Z6" i="4"/>
  <c r="Z7" i="4"/>
  <c r="Z8" i="4"/>
  <c r="Z9" i="4"/>
  <c r="Z10" i="4"/>
  <c r="Z11" i="4"/>
  <c r="Z12" i="4"/>
  <c r="Z13" i="4"/>
  <c r="Z14" i="4"/>
  <c r="Z15" i="4"/>
  <c r="Z16" i="4"/>
  <c r="Z17" i="4"/>
  <c r="Z18" i="4"/>
  <c r="Z19" i="4"/>
  <c r="Z20" i="4"/>
  <c r="Z21" i="4"/>
  <c r="Z2" i="4"/>
  <c r="Y3" i="4"/>
  <c r="Y4" i="4"/>
  <c r="Y5" i="4"/>
  <c r="Y6" i="4"/>
  <c r="Y7" i="4"/>
  <c r="Y8" i="4"/>
  <c r="Y9" i="4"/>
  <c r="Y10" i="4"/>
  <c r="Y11" i="4"/>
  <c r="Y12" i="4"/>
  <c r="Y13" i="4"/>
  <c r="Y14" i="4"/>
  <c r="Y15" i="4"/>
  <c r="Y16" i="4"/>
  <c r="Y17" i="4"/>
  <c r="Y18" i="4"/>
  <c r="Y19" i="4"/>
  <c r="Y20" i="4"/>
  <c r="Y21" i="4"/>
  <c r="Y2" i="4"/>
  <c r="X21" i="4"/>
  <c r="X20" i="4"/>
  <c r="X19" i="4"/>
  <c r="X18" i="4"/>
  <c r="X17" i="4"/>
  <c r="X16" i="4"/>
  <c r="X15" i="4"/>
  <c r="X14" i="4"/>
  <c r="X13" i="4"/>
  <c r="X12" i="4"/>
  <c r="X11" i="4"/>
  <c r="X10" i="4"/>
  <c r="X9" i="4"/>
  <c r="X8" i="4"/>
  <c r="X7" i="4"/>
  <c r="X6" i="4"/>
  <c r="X5" i="4"/>
  <c r="X4" i="4"/>
  <c r="X3" i="4"/>
  <c r="X2" i="4"/>
  <c r="V2" i="4"/>
  <c r="V3" i="4"/>
  <c r="V4" i="4"/>
  <c r="V5" i="4"/>
  <c r="V6" i="4"/>
  <c r="V7" i="4"/>
  <c r="V8" i="4"/>
  <c r="V9" i="4"/>
  <c r="V10" i="4"/>
  <c r="V11" i="4"/>
  <c r="V12" i="4"/>
  <c r="V13" i="4"/>
  <c r="V14" i="4"/>
  <c r="V15" i="4"/>
  <c r="V16" i="4"/>
  <c r="V17" i="4"/>
  <c r="V18" i="4"/>
  <c r="V19" i="4"/>
  <c r="V20" i="4"/>
  <c r="V21" i="4"/>
  <c r="I2" i="4"/>
  <c r="I3" i="4"/>
  <c r="I4" i="4"/>
  <c r="I5" i="4"/>
  <c r="I6" i="4"/>
  <c r="I7" i="4"/>
  <c r="I8" i="4"/>
  <c r="I9" i="4"/>
  <c r="I10" i="4"/>
  <c r="I11" i="4"/>
  <c r="I12" i="4"/>
  <c r="I13" i="4"/>
  <c r="I14" i="4"/>
  <c r="I15" i="4"/>
  <c r="I16" i="4"/>
  <c r="I17" i="4"/>
  <c r="I18" i="4"/>
  <c r="I19" i="4"/>
  <c r="I20" i="4"/>
  <c r="I21" i="4"/>
  <c r="F3" i="4"/>
  <c r="F4" i="4"/>
  <c r="F5" i="4"/>
  <c r="F6" i="4"/>
  <c r="F7" i="4"/>
  <c r="F8" i="4"/>
  <c r="F9" i="4"/>
  <c r="F10" i="4"/>
  <c r="F11" i="4"/>
  <c r="F12" i="4"/>
  <c r="F13" i="4"/>
  <c r="F14" i="4"/>
  <c r="F15" i="4"/>
  <c r="F16" i="4"/>
  <c r="F17" i="4"/>
  <c r="F18" i="4"/>
  <c r="F19" i="4"/>
  <c r="F20" i="4"/>
  <c r="F21" i="4"/>
  <c r="F2" i="4"/>
  <c r="Z3" i="3"/>
  <c r="Z4" i="3"/>
  <c r="Z5" i="3"/>
  <c r="Z6" i="3"/>
  <c r="Z7" i="3"/>
  <c r="Z8" i="3"/>
  <c r="Z9" i="3"/>
  <c r="Z10" i="3"/>
  <c r="Z11" i="3"/>
  <c r="Z12" i="3"/>
  <c r="Z13" i="3"/>
  <c r="Z14" i="3"/>
  <c r="Z15" i="3"/>
  <c r="Z16" i="3"/>
  <c r="Z17" i="3"/>
  <c r="Z18" i="3"/>
  <c r="Z19" i="3"/>
  <c r="Z20" i="3"/>
  <c r="Z21" i="3"/>
  <c r="Z2" i="3"/>
  <c r="X3" i="3"/>
  <c r="X4" i="3"/>
  <c r="X5" i="3"/>
  <c r="X6" i="3"/>
  <c r="X7" i="3"/>
  <c r="X8" i="3"/>
  <c r="X9" i="3"/>
  <c r="X10" i="3"/>
  <c r="X11" i="3"/>
  <c r="X12" i="3"/>
  <c r="X13" i="3"/>
  <c r="X14" i="3"/>
  <c r="X15" i="3"/>
  <c r="X16" i="3"/>
  <c r="X17" i="3"/>
  <c r="X18" i="3"/>
  <c r="X19" i="3"/>
  <c r="X20" i="3"/>
  <c r="X21" i="3"/>
  <c r="X2" i="3"/>
  <c r="V2" i="3" a="1"/>
  <c r="V2" i="3" s="1"/>
  <c r="T2" i="3" a="1"/>
  <c r="T2" i="3" s="1"/>
  <c r="R2" i="3"/>
  <c r="O23" i="3"/>
  <c r="O20" i="3"/>
  <c r="O17" i="3"/>
  <c r="O13" i="3"/>
  <c r="O14" i="3"/>
  <c r="O10" i="3"/>
  <c r="O9" i="3"/>
  <c r="O6" i="3"/>
  <c r="O3" i="3"/>
  <c r="O2" i="3"/>
  <c r="K2" i="1"/>
  <c r="L2" i="1" s="1"/>
  <c r="K3" i="1"/>
  <c r="L3" i="1" s="1"/>
  <c r="K4" i="1"/>
  <c r="L4" i="1" s="1"/>
  <c r="K5" i="1"/>
  <c r="L5" i="1" s="1"/>
  <c r="K6" i="1"/>
  <c r="L6" i="1" s="1"/>
  <c r="K7" i="1"/>
  <c r="L7" i="1" s="1"/>
  <c r="K8" i="1"/>
  <c r="L8" i="1" s="1"/>
  <c r="K9" i="1"/>
  <c r="L9" i="1" s="1"/>
  <c r="K10" i="1"/>
  <c r="L10" i="1" s="1"/>
  <c r="K11" i="1"/>
  <c r="L11" i="1" s="1"/>
  <c r="K12" i="1"/>
  <c r="L12" i="1" s="1"/>
  <c r="K13" i="1"/>
  <c r="L13" i="1" s="1"/>
  <c r="K14" i="1"/>
  <c r="L14" i="1" s="1"/>
  <c r="K15" i="1"/>
  <c r="L15" i="1" s="1"/>
  <c r="K16" i="1"/>
  <c r="L16" i="1" s="1"/>
  <c r="K17" i="1"/>
  <c r="L17" i="1" s="1"/>
  <c r="K18" i="1"/>
  <c r="L18" i="1" s="1"/>
  <c r="K19" i="1"/>
  <c r="L19" i="1" s="1"/>
  <c r="K20" i="1"/>
  <c r="L20" i="1" s="1"/>
  <c r="K21" i="1"/>
  <c r="L2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<sst xmlns="http://schemas.openxmlformats.org/spreadsheetml/2006/main" count="426" uniqueCount="74">
  <si>
    <t>Order ID</t>
  </si>
  <si>
    <t>Date</t>
  </si>
  <si>
    <t>Region</t>
  </si>
  <si>
    <t>Salesperson</t>
  </si>
  <si>
    <t>Product</t>
  </si>
  <si>
    <t>Category</t>
  </si>
  <si>
    <t>Units</t>
  </si>
  <si>
    <t>Unit Price</t>
  </si>
  <si>
    <t>Discount</t>
  </si>
  <si>
    <t>Customer Type</t>
  </si>
  <si>
    <t>North</t>
  </si>
  <si>
    <t>West</t>
  </si>
  <si>
    <t>South</t>
  </si>
  <si>
    <t>East</t>
  </si>
  <si>
    <t>Aarav</t>
  </si>
  <si>
    <t>Diya</t>
  </si>
  <si>
    <t>Kabir</t>
  </si>
  <si>
    <t>Meera</t>
  </si>
  <si>
    <t>Riya</t>
  </si>
  <si>
    <t>Zoya</t>
  </si>
  <si>
    <t>Laptop</t>
  </si>
  <si>
    <t>Monitor</t>
  </si>
  <si>
    <t>Keyboard</t>
  </si>
  <si>
    <t>Printer</t>
  </si>
  <si>
    <t>Mouse</t>
  </si>
  <si>
    <t>Electronics</t>
  </si>
  <si>
    <t>Accessories</t>
  </si>
  <si>
    <t>Office</t>
  </si>
  <si>
    <t>Retail</t>
  </si>
  <si>
    <t>Corporate</t>
  </si>
  <si>
    <t>Row Labels</t>
  </si>
  <si>
    <t>Grand Total</t>
  </si>
  <si>
    <t>Calculation convention:</t>
  </si>
  <si>
    <t>Net Sales = Gross Sales × (1 − Discount)</t>
  </si>
  <si>
    <t xml:space="preserve"> Gross Sales = Units × Unit Price</t>
  </si>
  <si>
    <t>Gross Sales</t>
  </si>
  <si>
    <t>Net Sales</t>
  </si>
  <si>
    <t>Q6</t>
  </si>
  <si>
    <t>Total Units Sold</t>
  </si>
  <si>
    <t>Total Net Sales</t>
  </si>
  <si>
    <t xml:space="preserve"> </t>
  </si>
  <si>
    <t>Q7</t>
  </si>
  <si>
    <t>Q3</t>
  </si>
  <si>
    <t>Q4</t>
  </si>
  <si>
    <t>Average Unit Price</t>
  </si>
  <si>
    <t>Q5</t>
  </si>
  <si>
    <t>Max</t>
  </si>
  <si>
    <t>Min</t>
  </si>
  <si>
    <t>Non-empty Order IDs</t>
  </si>
  <si>
    <t>Total Numeric Entries in the Table</t>
  </si>
  <si>
    <t>Orders belonging to Electronics Category</t>
  </si>
  <si>
    <t>Net Sales from North Region</t>
  </si>
  <si>
    <t>Q8</t>
  </si>
  <si>
    <t>Q9</t>
  </si>
  <si>
    <t>Solutions</t>
  </si>
  <si>
    <t>Q10</t>
  </si>
  <si>
    <t>Net Sales for Corporate customers in the West region.</t>
  </si>
  <si>
    <t>Orders for Accessories and Retail</t>
  </si>
  <si>
    <t>Q11 PERFORMANCE COLUMN</t>
  </si>
  <si>
    <t xml:space="preserve">Q12 Rounded Net Sales </t>
  </si>
  <si>
    <t>Q13 First 3 Characters Order_ID</t>
  </si>
  <si>
    <t>Q14   Month Extracion</t>
  </si>
  <si>
    <t>Q1</t>
  </si>
  <si>
    <t>Standard Price</t>
  </si>
  <si>
    <t>Q2 Standard Price</t>
  </si>
  <si>
    <t>Sum of Net Sales</t>
  </si>
  <si>
    <t>Column Labels</t>
  </si>
  <si>
    <t>Sum of Units</t>
  </si>
  <si>
    <t>Q2</t>
  </si>
  <si>
    <t>Jan</t>
  </si>
  <si>
    <t>Feb</t>
  </si>
  <si>
    <t>Mar</t>
  </si>
  <si>
    <t>Average of Unit Price</t>
  </si>
  <si>
    <t>Q7 &amp; 8 -&gt;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</si>
</sst>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39]#,##0.00"/>
    <numFmt numFmtId="165" formatCode="&quot;₹&quot;\ #,##0.00"/>
  </numFmts>
  <fonts count="6" x14ac:knownFonts="1">
    <font>
      <sz val="11"/>
      <color theme="1"/>
      <name val="Calibri"/>
      <family val="2"/>
      <scheme val="minor"/>
    </font>
    <font>
      <b/>
      <sz val="12"/>
      <color rgb="FFFF0000"/>
      <name val="Calibri"/>
      <family val="2"/>
      <scheme val="minor"/>
    </font>
    <font>
      <sz val="11"/>
      <color rgb="FFFF0000"/>
      <name val="Calibri"/>
      <family val="2"/>
      <scheme val="minor"/>
    </font>
    <font>
      <sz val="8"/>
      <name val="Calibri"/>
      <family val="2"/>
      <scheme val="minor"/>
    </font>
    <font>
      <b/>
      <sz val="11"/>
      <color theme="1"/>
      <name val="Calibri"/>
      <family val="2"/>
      <scheme val="minor"/>
    </font>
    <font>
      <b/>
      <sz val="12"/>
      <color theme="1"/>
      <name val="Algerian"/>
      <family val="5"/>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7">
    <xf numFmtId="0" fontId="0" fillId="0" borderId="0" xfId="0"/>
    <xf numFmtId="0" fontId="1" fillId="2" borderId="0" xfId="0" applyFont="1" applyFill="1"/>
    <xf numFmtId="0" fontId="0" fillId="0" borderId="0" xfId="0" pivotButton="1"/>
    <xf numFmtId="0" fontId="0" fillId="0" borderId="0" xfId="0" applyAlignment="1">
      <alignment horizontal="left"/>
    </xf>
    <xf numFmtId="14" fontId="1" fillId="2" borderId="0" xfId="0" applyNumberFormat="1" applyFont="1" applyFill="1"/>
    <xf numFmtId="14" fontId="0" fillId="0" borderId="0" xfId="0" applyNumberFormat="1"/>
    <xf numFmtId="164" fontId="0" fillId="0" borderId="0" xfId="0" applyNumberFormat="1"/>
    <xf numFmtId="0" fontId="2" fillId="2" borderId="0" xfId="0" applyFont="1" applyFill="1"/>
    <xf numFmtId="165" fontId="0" fillId="0" borderId="0" xfId="0" applyNumberFormat="1"/>
    <xf numFmtId="0" fontId="0" fillId="0" borderId="0" xfId="0" applyAlignment="1">
      <alignment wrapText="1"/>
    </xf>
    <xf numFmtId="0" fontId="1" fillId="2" borderId="0" xfId="0" applyFont="1" applyFill="1" applyAlignment="1">
      <alignment wrapText="1"/>
    </xf>
    <xf numFmtId="14" fontId="0" fillId="0" borderId="0" xfId="0" applyNumberFormat="1" applyAlignment="1">
      <alignment wrapText="1"/>
    </xf>
    <xf numFmtId="165" fontId="0" fillId="0" borderId="0" xfId="0" applyNumberFormat="1" applyAlignment="1">
      <alignment wrapText="1"/>
    </xf>
    <xf numFmtId="164" fontId="0" fillId="0" borderId="0" xfId="0" applyNumberFormat="1" applyAlignment="1">
      <alignment wrapText="1"/>
    </xf>
    <xf numFmtId="165" fontId="0" fillId="3" borderId="0" xfId="0" applyNumberFormat="1" applyFill="1" applyAlignment="1">
      <alignment wrapText="1"/>
    </xf>
    <xf numFmtId="0" fontId="5" fillId="0" borderId="0" xfId="0" applyFont="1" applyAlignment="1">
      <alignment wrapText="1"/>
    </xf>
    <xf numFmtId="0" fontId="4" fillId="0" borderId="0" xfId="0" applyFont="1"/>
  </cellXfs>
  <cellStyles count="1">
    <cellStyle name="Normal" xfId="0" builtinId="0"/>
  </cellStyles>
  <dxfs count="38">
    <dxf>
      <font>
        <color rgb="FF9C0006"/>
      </font>
      <fill>
        <patternFill>
          <bgColor rgb="FF92D050"/>
        </patternFill>
      </fill>
    </dxf>
    <dxf>
      <fill>
        <patternFill>
          <bgColor rgb="FF0070C0"/>
        </patternFill>
      </fill>
    </dxf>
    <dxf>
      <font>
        <color rgb="FF9C0006"/>
      </font>
      <fill>
        <patternFill>
          <bgColor rgb="FF92D050"/>
        </patternFill>
      </fill>
    </dxf>
    <dxf>
      <font>
        <color rgb="FF9C0006"/>
      </font>
      <fill>
        <patternFill>
          <bgColor rgb="FFFFC7CE"/>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65" formatCode="&quot;₹&quot;\ #,##0.00"/>
      <alignment horizontal="general" vertical="bottom" textRotation="0" wrapText="1" indent="0" justifyLastLine="0" shrinkToFit="0" readingOrder="0"/>
    </dxf>
    <dxf>
      <numFmt numFmtId="164" formatCode="[$₹-439]#,##0.00"/>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9" formatCode="dd/mm/yyyy"/>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2"/>
        <color rgb="FFFF0000"/>
        <name val="Calibri"/>
        <family val="2"/>
        <scheme val="minor"/>
      </font>
      <fill>
        <patternFill patternType="solid">
          <fgColor indexed="64"/>
          <bgColor rgb="FFFFFF00"/>
        </patternFill>
      </fil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64" formatCode="[$₹-439]#,##0.00"/>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9" formatCode="dd/mm/yyyy"/>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2"/>
        <color rgb="FFFF0000"/>
        <name val="Calibri"/>
        <family val="2"/>
        <scheme val="minor"/>
      </font>
      <fill>
        <patternFill patternType="solid">
          <fgColor indexed="64"/>
          <bgColor rgb="FFFFFF00"/>
        </patternFill>
      </fill>
      <alignment horizontal="general" vertical="bottom" textRotation="0" wrapText="1" indent="0" justifyLastLine="0" shrinkToFit="0" readingOrder="0"/>
    </dxf>
    <dxf>
      <numFmt numFmtId="164" formatCode="[$₹-439]#,##0.00"/>
    </dxf>
    <dxf>
      <numFmt numFmtId="164" formatCode="[$₹-439]#,##0.00"/>
    </dxf>
    <dxf>
      <numFmt numFmtId="164" formatCode="[$₹-439]#,##0.00"/>
    </dxf>
    <dxf>
      <numFmt numFmtId="166" formatCode="m/d/yyyy"/>
    </dxf>
    <dxf>
      <font>
        <b/>
        <i val="0"/>
        <strike val="0"/>
        <condense val="0"/>
        <extend val="0"/>
        <outline val="0"/>
        <shadow val="0"/>
        <u val="none"/>
        <vertAlign val="baseline"/>
        <sz val="12"/>
        <color rgb="FFFF0000"/>
        <name val="Calibri"/>
        <family val="2"/>
        <scheme val="minor"/>
      </font>
      <fill>
        <patternFill patternType="solid">
          <fgColor indexed="64"/>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10/relationships/person" Target="persons/person.xml"/><Relationship Id="rId5" Type="http://schemas.openxmlformats.org/officeDocument/2006/relationships/pivotCacheDefinition" Target="pivotCache/pivotCacheDefinition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[IIOT EXCEL PRACTICE.xlsx]SECTION D!PivotTable1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'SECTION D'!$B$3</c:f>
              <c:strCache>
                <c:ptCount val="1"/>
                <c:pt idx="0">
                  <c:v>Total</c:v>
                </c:pt>
              </c:strCache>
            </c:strRef>
          </c:tx>
          <c:spPr>
            <a:solidFill>
              <a:schemeClr val="accent1"/>
            </a:solidFill>
            <a:ln>
              <a:noFill/>
            </a:ln>
            <a:effectLst/>
          </c:spPr>
          <c:invertIfNegative val="0"/>
          <c:cat>
            <c:strRef>
              <c:f>'SECTION D'!$A$4:$A$8</c:f>
              <c:strCache>
                <c:ptCount val="4"/>
                <c:pt idx="0">
                  <c:v>South</c:v>
                </c:pt>
                <c:pt idx="1">
                  <c:v>East</c:v>
                </c:pt>
                <c:pt idx="2">
                  <c:v>North</c:v>
                </c:pt>
                <c:pt idx="3">
                  <c:v>West</c:v>
                </c:pt>
              </c:strCache>
            </c:strRef>
          </c:cat>
          <c:val>
            <c:numRef>
              <c:f>'SECTION D'!$B$4:$B$8</c:f>
              <c:numCache>
                <c:formatCode>"₹"\ #,##0.00</c:formatCode>
                <c:ptCount val="4"/>
                <c:pt idx="0">
                  <c:v>460085</c:v>
                </c:pt>
                <c:pt idx="1">
                  <c:v>411740</c:v>
                </c:pt>
                <c:pt idx="2">
                  <c:v>394000</c:v>
                </c:pt>
                <c:pt idx="3">
                  <c:v>309657.5</c:v>
                </c:pt>
              </c:numCache>
            </c:numRef>
          </c:val>
          <c:extLst>
            <c:ext xmlns:c16="http://schemas.microsoft.com/office/drawing/2014/chart" uri="{C3380CC4-5D6E-409C-BE32-E72D297353CC}">
              <c16:uniqueId val="{00000000-2AB2-4696-9D7A-AB5571CC7C57}"/>
            </c:ext>
          </c:extLst>
        </c:ser>
        <c:dLbls>
          <c:showLegendKey val="0"/>
          <c:showVal val="0"/>
          <c:showCatName val="0"/>
          <c:showSerName val="0"/>
          <c:showPercent val="0"/>
          <c:showBubbleSize val="0"/>
        </c:dLbls>
        <c:gapWidth val="150"/>
        <c:overlap val="100"/>
        <c:axId val="667826704"/>
        <c:axId val="372153488"/>
      </c:barChart>
      <c:catAx>
        <c:axId val="66782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153488"/>
        <c:crosses val="autoZero"/>
        <c:auto val="1"/>
        <c:lblAlgn val="ctr"/>
        <c:lblOffset val="100"/>
        <c:noMultiLvlLbl val="0"/>
      </c:catAx>
      <c:valAx>
        <c:axId val="3721534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826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223371</xdr:colOff>
      <xdr:row>0</xdr:row>
      <xdr:rowOff>0</xdr:rowOff>
    </xdr:from>
    <xdr:to>
      <xdr:col>7</xdr:col>
      <xdr:colOff>1051112</xdr:colOff>
      <xdr:row>15</xdr:row>
      <xdr:rowOff>6350</xdr:rowOff>
    </xdr:to>
    <xdr:graphicFrame macro="">
      <xdr:nvGraphicFramePr>
        <xdr:cNvPr id="2" name="Chart 1">
          <a:extLst>
            <a:ext uri="{FF2B5EF4-FFF2-40B4-BE49-F238E27FC236}">
              <a16:creationId xmlns:a16="http://schemas.microsoft.com/office/drawing/2014/main" id="{E92210D0-38BC-9CDD-1676-983431A1CF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205066</xdr:colOff>
      <xdr:row>21</xdr:row>
      <xdr:rowOff>157257</xdr:rowOff>
    </xdr:from>
    <xdr:to>
      <xdr:col>4</xdr:col>
      <xdr:colOff>141940</xdr:colOff>
      <xdr:row>29</xdr:row>
      <xdr:rowOff>164354</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092F942D-5182-FDB4-DAF0-A9828C34EAD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61184" y="4079316"/>
              <a:ext cx="1834403" cy="15012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mol" refreshedDate="46276.061719791665" createdVersion="8" refreshedVersion="8" minRefreshableVersion="3" recordCount="20" xr:uid="{D637E0BA-24B8-4793-B806-558DA74E6FDA}">
  <cacheSource type="worksheet">
    <worksheetSource name="SALES_DATA4"/>
  </cacheSource>
  <cacheFields count="14">
    <cacheField name="Order ID" numFmtId="0">
      <sharedItems containsSemiMixedTypes="0" containsString="0" containsNumber="1" containsInteger="1" minValue="1001" maxValue="1020"/>
    </cacheField>
    <cacheField name="Date" numFmtId="14">
      <sharedItems containsSemiMixedTypes="0" containsNonDate="0" containsDate="1" containsString="0" minDate="2026-01-05T00:00:00" maxDate="2026-03-20T00:00:00" count="20">
        <d v="2026-01-05T00:00:00"/>
        <d v="2026-01-07T00:00:00"/>
        <d v="2026-01-09T00:00:00"/>
        <d v="2026-01-12T00:00:00"/>
        <d v="2026-01-15T00:00:00"/>
        <d v="2026-01-18T00:00:00"/>
        <d v="2026-01-21T00:00:00"/>
        <d v="2026-01-24T00:00:00"/>
        <d v="2026-01-28T00:00:00"/>
        <d v="2026-02-02T00:00:00"/>
        <d v="2026-02-05T00:00:00"/>
        <d v="2026-02-09T00:00:00"/>
        <d v="2026-02-13T00:00:00"/>
        <d v="2026-02-17T00:00:00"/>
        <d v="2026-02-21T00:00:00"/>
        <d v="2026-02-25T00:00:00"/>
        <d v="2026-03-03T00:00:00"/>
        <d v="2026-03-08T00:00:00"/>
        <d v="2026-03-14T00:00:00"/>
        <d v="2026-03-19T00:00:00"/>
      </sharedItems>
      <fieldGroup par="13"/>
    </cacheField>
    <cacheField name="Region" numFmtId="0">
      <sharedItems count="4">
        <s v="North"/>
        <s v="West"/>
        <s v="South"/>
        <s v="East"/>
      </sharedItems>
    </cacheField>
    <cacheField name="Salesperson" numFmtId="0">
      <sharedItems count="6">
        <s v="Aarav"/>
        <s v="Diya"/>
        <s v="Kabir"/>
        <s v="Meera"/>
        <s v="Riya"/>
        <s v="Zoya"/>
      </sharedItems>
    </cacheField>
    <cacheField name="Product" numFmtId="0">
      <sharedItems count="5">
        <s v="Laptop"/>
        <s v="Monitor"/>
        <s v="Keyboard"/>
        <s v="Printer"/>
        <s v="Mouse"/>
      </sharedItems>
    </cacheField>
    <cacheField name="Category" numFmtId="0">
      <sharedItems count="3">
        <s v="Electronics"/>
        <s v="Accessories"/>
        <s v="Office"/>
      </sharedItems>
    </cacheField>
    <cacheField name="Units" numFmtId="0">
      <sharedItems containsSemiMixedTypes="0" containsString="0" containsNumber="1" containsInteger="1" minValue="2" maxValue="25"/>
    </cacheField>
    <cacheField name="Unit Price" numFmtId="0">
      <sharedItems containsSemiMixedTypes="0" containsString="0" containsNumber="1" containsInteger="1" minValue="850" maxValue="57000"/>
    </cacheField>
    <cacheField name="Standard Price" numFmtId="0">
      <sharedItems containsSemiMixedTypes="0" containsString="0" containsNumber="1" containsInteger="1" minValue="900" maxValue="55000"/>
    </cacheField>
    <cacheField name="Discount" numFmtId="0">
      <sharedItems containsSemiMixedTypes="0" containsString="0" containsNumber="1" minValue="0" maxValue="0.1"/>
    </cacheField>
    <cacheField name="Customer Type" numFmtId="0">
      <sharedItems count="2">
        <s v="Retail"/>
        <s v="Corporate"/>
      </sharedItems>
    </cacheField>
    <cacheField name="Gross Sales" numFmtId="165">
      <sharedItems containsSemiMixedTypes="0" containsString="0" containsNumber="1" containsInteger="1" minValue="7040" maxValue="218000"/>
    </cacheField>
    <cacheField name="Net Sales" numFmtId="165">
      <sharedItems containsSemiMixedTypes="0" containsString="0" containsNumber="1" minValue="7040" maxValue="215820" count="18">
        <n v="156750"/>
        <n v="90000"/>
        <n v="23760"/>
        <n v="55100"/>
        <n v="18000"/>
        <n v="103040"/>
        <n v="116375"/>
        <n v="28350"/>
        <n v="20187.5"/>
        <n v="215820"/>
        <n v="145600"/>
        <n v="21850"/>
        <n v="68080"/>
        <n v="7040"/>
        <n v="162450"/>
        <n v="107400"/>
        <n v="97090"/>
        <n v="20240"/>
      </sharedItems>
    </cacheField>
    <cacheField name="Months (Date)" numFmtId="0" databaseField="0">
      <fieldGroup base="1">
        <rangePr groupBy="months" startDate="2026-01-05T00:00:00" endDate="2026-03-20T00:00:00"/>
        <groupItems count="14">
          <s v="&lt;05-01-2026"/>
          <s v="Jan"/>
          <s v="Feb"/>
          <s v="Mar"/>
          <s v="Apr"/>
          <s v="May"/>
          <s v="Jun"/>
          <s v="Jul"/>
          <s v="Aug"/>
          <s v="Sep"/>
          <s v="Oct"/>
          <s v="Nov"/>
          <s v="Dec"/>
          <s v="&gt;20-03-2026"/>
        </groupItems>
      </fieldGroup>
    </cacheField>
  </cacheFields>
  <extLst>
    <ext xmlns:x14="http://schemas.microsoft.com/office/spreadsheetml/2009/9/main" uri="{725AE2AE-9491-48be-B2B4-4EB974FC3084}">
      <x14:pivotCacheDefinition pivotCacheId="14662694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001"/>
    <x v="0"/>
    <x v="0"/>
    <x v="0"/>
    <x v="0"/>
    <x v="0"/>
    <n v="3"/>
    <n v="55000"/>
    <n v="55000"/>
    <n v="0.05"/>
    <x v="0"/>
    <n v="165000"/>
    <x v="0"/>
  </r>
  <r>
    <n v="1002"/>
    <x v="1"/>
    <x v="1"/>
    <x v="1"/>
    <x v="1"/>
    <x v="0"/>
    <n v="5"/>
    <n v="18000"/>
    <n v="18000"/>
    <n v="0"/>
    <x v="1"/>
    <n v="90000"/>
    <x v="1"/>
  </r>
  <r>
    <n v="1003"/>
    <x v="2"/>
    <x v="2"/>
    <x v="2"/>
    <x v="2"/>
    <x v="1"/>
    <n v="12"/>
    <n v="2200"/>
    <n v="2100"/>
    <n v="0.1"/>
    <x v="0"/>
    <n v="26400"/>
    <x v="2"/>
  </r>
  <r>
    <n v="1004"/>
    <x v="3"/>
    <x v="3"/>
    <x v="3"/>
    <x v="3"/>
    <x v="2"/>
    <n v="4"/>
    <n v="14500"/>
    <n v="15000"/>
    <n v="0.05"/>
    <x v="1"/>
    <n v="58000"/>
    <x v="3"/>
  </r>
  <r>
    <n v="1005"/>
    <x v="4"/>
    <x v="0"/>
    <x v="0"/>
    <x v="4"/>
    <x v="1"/>
    <n v="20"/>
    <n v="900"/>
    <n v="900"/>
    <n v="0"/>
    <x v="0"/>
    <n v="18000"/>
    <x v="4"/>
  </r>
  <r>
    <n v="1006"/>
    <x v="5"/>
    <x v="1"/>
    <x v="4"/>
    <x v="0"/>
    <x v="0"/>
    <n v="2"/>
    <n v="56000"/>
    <n v="55000"/>
    <n v="0.08"/>
    <x v="1"/>
    <n v="112000"/>
    <x v="5"/>
  </r>
  <r>
    <n v="1007"/>
    <x v="6"/>
    <x v="2"/>
    <x v="2"/>
    <x v="1"/>
    <x v="0"/>
    <n v="7"/>
    <n v="17500"/>
    <n v="18000"/>
    <n v="0.05"/>
    <x v="0"/>
    <n v="122500"/>
    <x v="6"/>
  </r>
  <r>
    <n v="1008"/>
    <x v="7"/>
    <x v="3"/>
    <x v="3"/>
    <x v="2"/>
    <x v="1"/>
    <n v="15"/>
    <n v="2100"/>
    <n v="2100"/>
    <n v="0.1"/>
    <x v="0"/>
    <n v="31500"/>
    <x v="7"/>
  </r>
  <r>
    <n v="1009"/>
    <x v="8"/>
    <x v="0"/>
    <x v="5"/>
    <x v="3"/>
    <x v="2"/>
    <n v="6"/>
    <n v="15000"/>
    <n v="15000"/>
    <n v="0"/>
    <x v="1"/>
    <n v="90000"/>
    <x v="1"/>
  </r>
  <r>
    <n v="1010"/>
    <x v="9"/>
    <x v="1"/>
    <x v="4"/>
    <x v="4"/>
    <x v="1"/>
    <n v="25"/>
    <n v="850"/>
    <n v="900"/>
    <n v="0.05"/>
    <x v="0"/>
    <n v="21250"/>
    <x v="8"/>
  </r>
  <r>
    <n v="1011"/>
    <x v="10"/>
    <x v="2"/>
    <x v="2"/>
    <x v="0"/>
    <x v="0"/>
    <n v="4"/>
    <n v="54500"/>
    <n v="55000"/>
    <n v="0.01"/>
    <x v="1"/>
    <n v="218000"/>
    <x v="9"/>
  </r>
  <r>
    <n v="1012"/>
    <x v="11"/>
    <x v="3"/>
    <x v="3"/>
    <x v="1"/>
    <x v="0"/>
    <n v="8"/>
    <n v="18200"/>
    <n v="18000"/>
    <n v="0"/>
    <x v="0"/>
    <n v="145600"/>
    <x v="10"/>
  </r>
  <r>
    <n v="1013"/>
    <x v="12"/>
    <x v="0"/>
    <x v="5"/>
    <x v="2"/>
    <x v="1"/>
    <n v="10"/>
    <n v="2300"/>
    <n v="2100"/>
    <n v="0.05"/>
    <x v="0"/>
    <n v="23000"/>
    <x v="11"/>
  </r>
  <r>
    <n v="1014"/>
    <x v="13"/>
    <x v="1"/>
    <x v="4"/>
    <x v="3"/>
    <x v="2"/>
    <n v="5"/>
    <n v="14800"/>
    <n v="15000"/>
    <n v="0.08"/>
    <x v="1"/>
    <n v="74000"/>
    <x v="12"/>
  </r>
  <r>
    <n v="1015"/>
    <x v="14"/>
    <x v="2"/>
    <x v="2"/>
    <x v="4"/>
    <x v="1"/>
    <n v="8"/>
    <n v="880"/>
    <n v="900"/>
    <n v="0"/>
    <x v="0"/>
    <n v="7040"/>
    <x v="13"/>
  </r>
  <r>
    <n v="1016"/>
    <x v="15"/>
    <x v="3"/>
    <x v="3"/>
    <x v="0"/>
    <x v="0"/>
    <n v="3"/>
    <n v="57000"/>
    <n v="55000"/>
    <n v="0.05"/>
    <x v="1"/>
    <n v="171000"/>
    <x v="14"/>
  </r>
  <r>
    <n v="1017"/>
    <x v="16"/>
    <x v="0"/>
    <x v="0"/>
    <x v="1"/>
    <x v="0"/>
    <n v="6"/>
    <n v="17900"/>
    <n v="18000"/>
    <n v="0"/>
    <x v="0"/>
    <n v="107400"/>
    <x v="15"/>
  </r>
  <r>
    <n v="1018"/>
    <x v="17"/>
    <x v="1"/>
    <x v="4"/>
    <x v="2"/>
    <x v="1"/>
    <n v="14"/>
    <n v="2250"/>
    <n v="2100"/>
    <n v="0.1"/>
    <x v="0"/>
    <n v="31500"/>
    <x v="7"/>
  </r>
  <r>
    <n v="1019"/>
    <x v="18"/>
    <x v="2"/>
    <x v="2"/>
    <x v="3"/>
    <x v="2"/>
    <n v="7"/>
    <n v="14600"/>
    <n v="15000"/>
    <n v="0.05"/>
    <x v="1"/>
    <n v="102200"/>
    <x v="16"/>
  </r>
  <r>
    <n v="1020"/>
    <x v="19"/>
    <x v="3"/>
    <x v="3"/>
    <x v="4"/>
    <x v="1"/>
    <n v="22"/>
    <n v="920"/>
    <n v="900"/>
    <n v="0"/>
    <x v="0"/>
    <n v="20240"/>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F99558-0BC7-4026-8FBC-3B76454A5F9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B28" firstHeaderRow="1" firstDataRow="1" firstDataCol="1"/>
  <pivotFields count="14">
    <pivotField showAll="0"/>
    <pivotField numFmtId="14" showAll="0">
      <items count="21">
        <item x="0"/>
        <item x="1"/>
        <item x="2"/>
        <item x="3"/>
        <item x="4"/>
        <item x="5"/>
        <item x="6"/>
        <item x="7"/>
        <item x="8"/>
        <item x="9"/>
        <item x="10"/>
        <item x="11"/>
        <item x="12"/>
        <item x="13"/>
        <item x="14"/>
        <item x="15"/>
        <item x="16"/>
        <item x="17"/>
        <item x="18"/>
        <item x="19"/>
        <item t="default"/>
      </items>
    </pivotField>
    <pivotField showAll="0">
      <items count="5">
        <item x="3"/>
        <item x="0"/>
        <item x="2"/>
        <item x="1"/>
        <item t="default"/>
      </items>
    </pivotField>
    <pivotField showAll="0"/>
    <pivotField showAll="0"/>
    <pivotField axis="axisRow" showAll="0">
      <items count="4">
        <item x="1"/>
        <item x="0"/>
        <item x="2"/>
        <item t="default"/>
      </items>
    </pivotField>
    <pivotField showAll="0"/>
    <pivotField dataField="1" showAll="0"/>
    <pivotField showAll="0"/>
    <pivotField showAll="0"/>
    <pivotField showAll="0"/>
    <pivotField numFmtId="165" showAll="0"/>
    <pivotField numFmtId="165" showAll="0"/>
    <pivotField showAll="0" defaultSubtotal="0">
      <items count="14">
        <item x="0"/>
        <item x="1"/>
        <item x="2"/>
        <item x="3"/>
        <item x="4"/>
        <item x="5"/>
        <item x="6"/>
        <item x="7"/>
        <item x="8"/>
        <item x="9"/>
        <item x="10"/>
        <item x="11"/>
        <item x="12"/>
        <item x="13"/>
      </items>
    </pivotField>
  </pivotFields>
  <rowFields count="1">
    <field x="5"/>
  </rowFields>
  <rowItems count="4">
    <i>
      <x/>
    </i>
    <i>
      <x v="1"/>
    </i>
    <i>
      <x v="2"/>
    </i>
    <i t="grand">
      <x/>
    </i>
  </rowItems>
  <colItems count="1">
    <i/>
  </colItems>
  <dataFields count="1">
    <dataField name="Average of Unit Price" fld="7" subtotal="average" baseField="5"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F89FB7-6577-422D-882E-EB065810044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9:J43" firstHeaderRow="1" firstDataRow="1" firstDataCol="1"/>
  <pivotFields count="14">
    <pivotField showAll="0"/>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pivotField showAll="0"/>
    <pivotField showAll="0"/>
    <pivotField showAll="0"/>
    <pivotField showAll="0"/>
    <pivotField showAll="0"/>
    <pivotField numFmtId="165" showAll="0"/>
    <pivotField dataField="1" numFmtId="165" showAll="0"/>
    <pivotField axis="axisRow" showAll="0">
      <items count="15">
        <item x="0"/>
        <item x="1"/>
        <item x="2"/>
        <item x="3"/>
        <item x="4"/>
        <item x="5"/>
        <item x="6"/>
        <item x="7"/>
        <item x="8"/>
        <item x="9"/>
        <item x="10"/>
        <item x="11"/>
        <item x="12"/>
        <item x="13"/>
        <item t="default"/>
      </items>
    </pivotField>
  </pivotFields>
  <rowFields count="1">
    <field x="13"/>
  </rowFields>
  <rowItems count="4">
    <i>
      <x v="1"/>
    </i>
    <i>
      <x v="2"/>
    </i>
    <i>
      <x v="3"/>
    </i>
    <i t="grand">
      <x/>
    </i>
  </rowItems>
  <colItems count="1">
    <i/>
  </colItems>
  <dataFields count="1">
    <dataField name="Sum of Net Sales"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934BCA-F919-4662-AF01-C0904E5F124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3:G29" firstHeaderRow="1" firstDataRow="1" firstDataCol="1"/>
  <pivotFields count="14">
    <pivotField showAll="0"/>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pivotField axis="axisRow" showAll="0">
      <items count="6">
        <item x="2"/>
        <item x="0"/>
        <item x="1"/>
        <item x="4"/>
        <item x="3"/>
        <item t="default"/>
      </items>
    </pivotField>
    <pivotField showAll="0"/>
    <pivotField dataField="1" showAll="0"/>
    <pivotField showAll="0"/>
    <pivotField showAll="0"/>
    <pivotField showAll="0"/>
    <pivotField showAll="0"/>
    <pivotField numFmtId="165" showAll="0"/>
    <pivotField numFmtId="165" showAll="0"/>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Items count="1">
    <i/>
  </colItems>
  <dataFields count="1">
    <dataField name="Sum of Unit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91361D-7264-40C1-B415-73BDF912E14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4">
    <pivotField showAll="0"/>
    <pivotField numFmtId="14" showAll="0">
      <items count="21">
        <item x="0"/>
        <item x="1"/>
        <item x="2"/>
        <item x="3"/>
        <item x="4"/>
        <item x="5"/>
        <item x="6"/>
        <item x="7"/>
        <item x="8"/>
        <item x="9"/>
        <item x="10"/>
        <item x="11"/>
        <item x="12"/>
        <item x="13"/>
        <item x="14"/>
        <item x="15"/>
        <item x="16"/>
        <item x="17"/>
        <item x="18"/>
        <item x="19"/>
        <item t="default"/>
      </items>
    </pivotField>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65" showAll="0"/>
    <pivotField dataField="1" numFmtId="165" showAll="0">
      <items count="19">
        <item x="13"/>
        <item x="4"/>
        <item x="8"/>
        <item x="17"/>
        <item x="11"/>
        <item x="2"/>
        <item x="7"/>
        <item x="3"/>
        <item x="12"/>
        <item x="1"/>
        <item x="16"/>
        <item x="5"/>
        <item x="15"/>
        <item x="6"/>
        <item x="10"/>
        <item x="0"/>
        <item x="14"/>
        <item x="9"/>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v="2"/>
    </i>
    <i>
      <x/>
    </i>
    <i>
      <x v="1"/>
    </i>
    <i>
      <x v="3"/>
    </i>
    <i t="grand">
      <x/>
    </i>
  </rowItems>
  <colItems count="1">
    <i/>
  </colItems>
  <dataFields count="1">
    <dataField name="Sum of Net Sales" fld="12" baseField="2" baseItem="1"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E52E56-DCE7-46F9-8D16-CA3715B4524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9:G42" firstHeaderRow="1" firstDataRow="1" firstDataCol="1"/>
  <pivotFields count="14">
    <pivotField showAll="0"/>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pivotField showAll="0"/>
    <pivotField showAll="0"/>
    <pivotField showAll="0"/>
    <pivotField showAll="0"/>
    <pivotField axis="axisRow" showAll="0">
      <items count="3">
        <item x="1"/>
        <item x="0"/>
        <item t="default"/>
      </items>
    </pivotField>
    <pivotField numFmtId="165" showAll="0"/>
    <pivotField dataField="1" numFmtId="165" showAll="0"/>
    <pivotField showAll="0">
      <items count="15">
        <item x="0"/>
        <item x="1"/>
        <item x="2"/>
        <item x="3"/>
        <item x="4"/>
        <item x="5"/>
        <item x="6"/>
        <item x="7"/>
        <item x="8"/>
        <item x="9"/>
        <item x="10"/>
        <item x="11"/>
        <item x="12"/>
        <item x="13"/>
        <item t="default"/>
      </items>
    </pivotField>
  </pivotFields>
  <rowFields count="1">
    <field x="10"/>
  </rowFields>
  <rowItems count="3">
    <i>
      <x/>
    </i>
    <i>
      <x v="1"/>
    </i>
    <i t="grand">
      <x/>
    </i>
  </rowItems>
  <colItems count="1">
    <i/>
  </colItems>
  <dataFields count="1">
    <dataField name="Sum of Net Sales"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CE7CBC-4616-4E66-B69F-E6283F816A2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9:C46" firstHeaderRow="1" firstDataRow="1" firstDataCol="1"/>
  <pivotFields count="14">
    <pivotField showAll="0"/>
    <pivotField numFmtId="14"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7">
        <item x="0"/>
        <item x="1"/>
        <item x="2"/>
        <item x="3"/>
        <item x="4"/>
        <item x="5"/>
        <item t="default"/>
      </items>
    </pivotField>
    <pivotField showAll="0"/>
    <pivotField showAll="0"/>
    <pivotField showAll="0"/>
    <pivotField showAll="0"/>
    <pivotField showAll="0"/>
    <pivotField showAll="0"/>
    <pivotField showAll="0"/>
    <pivotField numFmtId="165" showAll="0"/>
    <pivotField dataField="1" numFmtId="165" showAll="0"/>
    <pivotField showAll="0">
      <items count="15">
        <item x="0"/>
        <item x="1"/>
        <item x="2"/>
        <item x="3"/>
        <item x="4"/>
        <item x="5"/>
        <item x="6"/>
        <item x="7"/>
        <item x="8"/>
        <item x="9"/>
        <item x="10"/>
        <item x="11"/>
        <item x="12"/>
        <item x="13"/>
        <item t="default"/>
      </items>
    </pivotField>
  </pivotFields>
  <rowFields count="1">
    <field x="3"/>
  </rowFields>
  <rowItems count="7">
    <i>
      <x/>
    </i>
    <i>
      <x v="1"/>
    </i>
    <i>
      <x v="2"/>
    </i>
    <i>
      <x v="3"/>
    </i>
    <i>
      <x v="4"/>
    </i>
    <i>
      <x v="5"/>
    </i>
    <i t="grand">
      <x/>
    </i>
  </rowItems>
  <colItems count="1">
    <i/>
  </colItems>
  <dataFields count="1">
    <dataField name="Sum of Net Sales"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4FD380-91B8-481A-8BCB-6727D412078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4:M30" firstHeaderRow="1" firstDataRow="2" firstDataCol="1"/>
  <pivotFields count="14">
    <pivotField showAll="0"/>
    <pivotField numFmtId="14" showAll="0">
      <items count="21">
        <item x="0"/>
        <item x="1"/>
        <item x="2"/>
        <item x="3"/>
        <item x="4"/>
        <item x="5"/>
        <item x="6"/>
        <item x="7"/>
        <item x="8"/>
        <item x="9"/>
        <item x="10"/>
        <item x="11"/>
        <item x="12"/>
        <item x="13"/>
        <item x="14"/>
        <item x="15"/>
        <item x="16"/>
        <item x="17"/>
        <item x="18"/>
        <item x="19"/>
        <item t="default"/>
      </items>
    </pivotField>
    <pivotField axis="axisRow" showAll="0">
      <items count="5">
        <item x="3"/>
        <item x="0"/>
        <item x="2"/>
        <item x="1"/>
        <item t="default"/>
      </items>
    </pivotField>
    <pivotField showAll="0"/>
    <pivotField showAll="0"/>
    <pivotField axis="axisCol" showAll="0">
      <items count="4">
        <item x="1"/>
        <item x="0"/>
        <item x="2"/>
        <item t="default"/>
      </items>
    </pivotField>
    <pivotField showAll="0"/>
    <pivotField showAll="0"/>
    <pivotField showAll="0"/>
    <pivotField showAll="0"/>
    <pivotField showAll="0"/>
    <pivotField numFmtId="165" showAll="0"/>
    <pivotField dataField="1" numFmtId="165"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Fields count="1">
    <field x="5"/>
  </colFields>
  <colItems count="4">
    <i>
      <x/>
    </i>
    <i>
      <x v="1"/>
    </i>
    <i>
      <x v="2"/>
    </i>
    <i t="grand">
      <x/>
    </i>
  </colItems>
  <dataFields count="1">
    <dataField name="Sum of Net Sales"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521A7C7-4D07-485C-9158-EFF1D7A7336E}" sourceName="Region">
  <pivotTables>
    <pivotTable tabId="5" name="PivotTable9"/>
  </pivotTables>
  <data>
    <tabular pivotCacheId="1466269442">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03FDCA4-D832-467A-9D04-6144F367E7D8}"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F3FD40-6E02-4060-A3E2-08FB7F3AA570}" name="ELECTRONICS_ITEMS" displayName="ELECTRONICS_ITEMS" ref="A1:L21" totalsRowShown="0" headerRowDxfId="37">
  <autoFilter ref="A1:L21" xr:uid="{DBF3FD40-6E02-4060-A3E2-08FB7F3AA570}"/>
  <sortState xmlns:xlrd2="http://schemas.microsoft.com/office/spreadsheetml/2017/richdata2" ref="A2:J21">
    <sortCondition descending="1" ref="H1:H21"/>
  </sortState>
  <tableColumns count="12">
    <tableColumn id="1" xr3:uid="{43117DCC-A58D-4569-996A-2E8954641241}" name="Order ID"/>
    <tableColumn id="2" xr3:uid="{8459E5E9-067B-4326-87F7-38A18D911B66}" name="Date" dataDxfId="36"/>
    <tableColumn id="3" xr3:uid="{6C8E4A17-D5BA-43B0-881A-B8855A222CEC}" name="Region"/>
    <tableColumn id="4" xr3:uid="{48E8E503-3A46-42B2-8862-D3D77BB87BF9}" name="Salesperson"/>
    <tableColumn id="5" xr3:uid="{B4D49BC2-F6B2-4E7E-831A-E3391BDBC841}" name="Product"/>
    <tableColumn id="6" xr3:uid="{91F463FA-370A-48BC-9532-4003E3E633FA}" name="Category"/>
    <tableColumn id="7" xr3:uid="{805DE878-F4FF-4859-8944-8439FB7FE9F1}" name="Units"/>
    <tableColumn id="8" xr3:uid="{A890B687-37E1-4AB4-891C-8583BAC21241}" name="Unit Price" dataDxfId="35"/>
    <tableColumn id="9" xr3:uid="{855E4303-8CE1-43C1-B515-8300BEF807C3}" name="Discount"/>
    <tableColumn id="10" xr3:uid="{C79C862D-C9F8-4879-88C2-5476791F9438}" name="Customer Type"/>
    <tableColumn id="11" xr3:uid="{25AB68D9-64D3-4871-8DD4-BE6C2FC89FF0}" name="Gross Sales" dataDxfId="34">
      <calculatedColumnFormula>ELECTRONICS_ITEMS[[#This Row],[Units]]*ELECTRONICS_ITEMS[[#This Row],[Unit Price]]</calculatedColumnFormula>
    </tableColumn>
    <tableColumn id="12" xr3:uid="{0466BB99-7C32-4031-BE8D-B1D6DBF112F8}" name="Net Sales" dataDxfId="33">
      <calculatedColumnFormula>ELECTRONICS_ITEMS[[#This Row],[Gross Sales]]*(1-ELECTRONICS_ITEMS[[#This Row],[Discount]])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62CA72-E80E-46F1-A9F4-8982D29CE4AA}" name="SALES_DATA" displayName="SALES_DATA" ref="A1:L21" totalsRowShown="0" headerRowDxfId="32" dataDxfId="31">
  <autoFilter ref="A1:L21" xr:uid="{5F62CA72-E80E-46F1-A9F4-8982D29CE4AA}"/>
  <sortState xmlns:xlrd2="http://schemas.microsoft.com/office/spreadsheetml/2017/richdata2" ref="A2:L21">
    <sortCondition ref="A1:A21"/>
  </sortState>
  <tableColumns count="12">
    <tableColumn id="1" xr3:uid="{88352C35-5D68-4D6F-B6BC-B58C4EC45B76}" name="Order ID" dataDxfId="30"/>
    <tableColumn id="2" xr3:uid="{AFA0D9DD-A845-4D7C-8C0D-914D2592506C}" name="Date" dataDxfId="29"/>
    <tableColumn id="3" xr3:uid="{F86BDD84-B0FC-4D6F-9B73-92D4A7FE8AD8}" name="Region" dataDxfId="28"/>
    <tableColumn id="4" xr3:uid="{CB7DCAD0-CBFB-4517-A629-01A3538D4F2B}" name="Salesperson" dataDxfId="27"/>
    <tableColumn id="5" xr3:uid="{18E12F03-3754-4688-BD2C-3B533C03CFDD}" name="Product" dataDxfId="26"/>
    <tableColumn id="6" xr3:uid="{44D9F8BB-2D06-4D27-A5C1-80B37721883D}" name="Category" dataDxfId="25"/>
    <tableColumn id="7" xr3:uid="{D9F90D17-8F81-4A3F-B73E-2BC074AFD425}" name="Units" dataDxfId="24"/>
    <tableColumn id="8" xr3:uid="{EA46419F-160E-4006-AC55-C8140831B81E}" name="Unit Price" dataDxfId="23"/>
    <tableColumn id="9" xr3:uid="{4D37EF02-6965-474F-993D-D26A97CACD3A}" name="Discount" dataDxfId="22"/>
    <tableColumn id="10" xr3:uid="{67621700-F3FB-4E59-88E7-0AB92A7BAA3E}" name="Customer Type" dataDxfId="21"/>
    <tableColumn id="11" xr3:uid="{0E5B89E2-4476-4830-AE76-5973D455921B}" name="Gross Sales" dataDxfId="20"/>
    <tableColumn id="12" xr3:uid="{729DC042-D6B1-4A9F-91D6-BAD0C05BA89F}" name="Net Sales" dataDxfId="19"/>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9CAA93-42BB-480C-9C0C-93520FECA1F5}" name="SALES_DATA4" displayName="SALES_DATA4" ref="A1:M21" totalsRowShown="0" headerRowDxfId="18" dataDxfId="17">
  <autoFilter ref="A1:M21" xr:uid="{3D9CAA93-42BB-480C-9C0C-93520FECA1F5}"/>
  <sortState xmlns:xlrd2="http://schemas.microsoft.com/office/spreadsheetml/2017/richdata2" ref="A2:M21">
    <sortCondition ref="A1:A21"/>
  </sortState>
  <tableColumns count="13">
    <tableColumn id="1" xr3:uid="{8FF957AB-1E6E-4C24-A572-92C7CC4F1B11}" name="Order ID" dataDxfId="16"/>
    <tableColumn id="2" xr3:uid="{60FE9D8B-E20B-45FA-983E-8AFA571E8CCE}" name="Date" dataDxfId="15"/>
    <tableColumn id="3" xr3:uid="{D9F03A7D-AEE8-4558-8FCC-2FA47E2B42B7}" name="Region" dataDxfId="14"/>
    <tableColumn id="4" xr3:uid="{5B1E22E8-8EEA-4CD5-8D7B-E4022C0C76A1}" name="Salesperson" dataDxfId="13"/>
    <tableColumn id="5" xr3:uid="{FDCC0C43-0689-4FDC-97B4-E865B4976652}" name="Product" dataDxfId="12"/>
    <tableColumn id="6" xr3:uid="{DDD2FFF0-F2EA-4507-B867-05E2924EC8F2}" name="Category" dataDxfId="11">
      <calculatedColumnFormula>_xlfn.XLOOKUP(E2,$R$2:$R$6,$S$2:$S$6)</calculatedColumnFormula>
    </tableColumn>
    <tableColumn id="7" xr3:uid="{3F11CAEA-40CB-4494-8E92-BAE749A9AF38}" name="Units" dataDxfId="10"/>
    <tableColumn id="8" xr3:uid="{09AF2F7A-B612-41CF-8ECF-5F9E6BE1024D}" name="Unit Price" dataDxfId="9"/>
    <tableColumn id="14" xr3:uid="{799E3DBF-8B5E-429F-8F98-D8FFC3555E89}" name="Standard Price" dataDxfId="8">
      <calculatedColumnFormula>_xlfn.XLOOKUP(SALES_DATA4[[#This Row],[Product]],$R$2:$R$6,$T$2:$T$6)</calculatedColumnFormula>
    </tableColumn>
    <tableColumn id="9" xr3:uid="{C3BBEA02-B330-4899-B4EE-2164C7C25601}" name="Discount" dataDxfId="7"/>
    <tableColumn id="10" xr3:uid="{6A3FF40F-1295-4ECE-9CEB-3A3C2911DD28}" name="Customer Type" dataDxfId="6"/>
    <tableColumn id="11" xr3:uid="{1780D8A7-B831-461E-9B67-34C361573C26}" name="Gross Sales" dataDxfId="5"/>
    <tableColumn id="12" xr3:uid="{3FEA35FC-D6D4-4EDC-9B62-0F04308919F2}" name="Net Sales" dataDxfId="4"/>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3BE9D-7B99-4D2C-A82E-E73AF34581E0}">
  <sheetPr>
    <tabColor rgb="FFFF0000"/>
  </sheetPr>
  <dimension ref="A1:L23"/>
  <sheetViews>
    <sheetView zoomScale="98" zoomScaleNormal="100" workbookViewId="0">
      <pane ySplit="1" topLeftCell="A2" activePane="bottomLeft" state="frozen"/>
      <selection pane="bottomLeft" activeCell="E11" sqref="E11"/>
    </sheetView>
  </sheetViews>
  <sheetFormatPr defaultRowHeight="14.5" x14ac:dyDescent="0.35"/>
  <cols>
    <col min="1" max="1" width="10.54296875" customWidth="1"/>
    <col min="2" max="2" width="13" style="5" customWidth="1"/>
    <col min="3" max="3" width="9.81640625" customWidth="1"/>
    <col min="4" max="4" width="13.81640625" customWidth="1"/>
    <col min="5" max="5" width="10.453125" customWidth="1"/>
    <col min="6" max="6" width="11.453125" customWidth="1"/>
    <col min="7" max="7" width="8.26953125" customWidth="1"/>
    <col min="8" max="8" width="11.81640625" style="6" customWidth="1"/>
    <col min="9" max="9" width="11.90625" customWidth="1"/>
    <col min="10" max="10" width="17.1796875" customWidth="1"/>
    <col min="11" max="11" width="13.6328125" customWidth="1"/>
    <col min="12" max="12" width="13.54296875" customWidth="1"/>
  </cols>
  <sheetData>
    <row r="1" spans="1:12" ht="15.5" x14ac:dyDescent="0.35">
      <c r="A1" s="1" t="s">
        <v>0</v>
      </c>
      <c r="B1" s="4" t="s">
        <v>1</v>
      </c>
      <c r="C1" s="1" t="s">
        <v>2</v>
      </c>
      <c r="D1" s="1" t="s">
        <v>3</v>
      </c>
      <c r="E1" s="1" t="s">
        <v>4</v>
      </c>
      <c r="F1" s="1" t="s">
        <v>5</v>
      </c>
      <c r="G1" s="1" t="s">
        <v>6</v>
      </c>
      <c r="H1" s="7" t="s">
        <v>7</v>
      </c>
      <c r="I1" s="1" t="s">
        <v>8</v>
      </c>
      <c r="J1" s="1" t="s">
        <v>9</v>
      </c>
      <c r="K1" s="1" t="s">
        <v>35</v>
      </c>
      <c r="L1" s="1" t="s">
        <v>36</v>
      </c>
    </row>
    <row r="2" spans="1:12" x14ac:dyDescent="0.35">
      <c r="A2">
        <v>1016</v>
      </c>
      <c r="B2" s="5">
        <v>46078</v>
      </c>
      <c r="C2" t="s">
        <v>13</v>
      </c>
      <c r="D2" t="s">
        <v>17</v>
      </c>
      <c r="E2" t="s">
        <v>20</v>
      </c>
      <c r="F2" t="s">
        <v>25</v>
      </c>
      <c r="G2">
        <v>3</v>
      </c>
      <c r="H2" s="6">
        <v>57000</v>
      </c>
      <c r="I2">
        <v>0.05</v>
      </c>
      <c r="J2" t="s">
        <v>29</v>
      </c>
      <c r="K2" s="6">
        <f>ELECTRONICS_ITEMS[[#This Row],[Units]]*ELECTRONICS_ITEMS[[#This Row],[Unit Price]]</f>
        <v>171000</v>
      </c>
      <c r="L2" s="6">
        <f>ELECTRONICS_ITEMS[[#This Row],[Gross Sales]]*(1-ELECTRONICS_ITEMS[[#This Row],[Discount]])</f>
        <v>162450</v>
      </c>
    </row>
    <row r="3" spans="1:12" x14ac:dyDescent="0.35">
      <c r="A3">
        <v>1006</v>
      </c>
      <c r="B3" s="5">
        <v>18</v>
      </c>
      <c r="C3" t="s">
        <v>11</v>
      </c>
      <c r="D3" t="s">
        <v>18</v>
      </c>
      <c r="E3" t="s">
        <v>20</v>
      </c>
      <c r="F3" t="s">
        <v>25</v>
      </c>
      <c r="G3">
        <v>2</v>
      </c>
      <c r="H3" s="6">
        <v>56000</v>
      </c>
      <c r="I3">
        <v>0.08</v>
      </c>
      <c r="J3" t="s">
        <v>29</v>
      </c>
      <c r="K3" s="6">
        <f>ELECTRONICS_ITEMS[[#This Row],[Units]]*ELECTRONICS_ITEMS[[#This Row],[Unit Price]]</f>
        <v>112000</v>
      </c>
      <c r="L3" s="6">
        <f>ELECTRONICS_ITEMS[[#This Row],[Gross Sales]]*(1-ELECTRONICS_ITEMS[[#This Row],[Discount]])</f>
        <v>103040</v>
      </c>
    </row>
    <row r="4" spans="1:12" x14ac:dyDescent="0.35">
      <c r="A4">
        <v>1001</v>
      </c>
      <c r="B4" s="5">
        <v>46027</v>
      </c>
      <c r="C4" t="s">
        <v>10</v>
      </c>
      <c r="D4" t="s">
        <v>14</v>
      </c>
      <c r="E4" t="s">
        <v>20</v>
      </c>
      <c r="F4" t="s">
        <v>25</v>
      </c>
      <c r="G4">
        <v>3</v>
      </c>
      <c r="H4" s="6">
        <v>55000</v>
      </c>
      <c r="I4">
        <v>0.05</v>
      </c>
      <c r="J4" t="s">
        <v>28</v>
      </c>
      <c r="K4" s="6">
        <f>ELECTRONICS_ITEMS[[#This Row],[Units]]*ELECTRONICS_ITEMS[[#This Row],[Unit Price]]</f>
        <v>165000</v>
      </c>
      <c r="L4" s="6">
        <f>ELECTRONICS_ITEMS[[#This Row],[Gross Sales]]*(1-ELECTRONICS_ITEMS[[#This Row],[Discount]])</f>
        <v>156750</v>
      </c>
    </row>
    <row r="5" spans="1:12" x14ac:dyDescent="0.35">
      <c r="A5">
        <v>1011</v>
      </c>
      <c r="B5" s="5">
        <v>46058</v>
      </c>
      <c r="C5" t="s">
        <v>12</v>
      </c>
      <c r="D5" t="s">
        <v>16</v>
      </c>
      <c r="E5" t="s">
        <v>20</v>
      </c>
      <c r="F5" t="s">
        <v>25</v>
      </c>
      <c r="G5">
        <v>4</v>
      </c>
      <c r="H5" s="6">
        <v>54500</v>
      </c>
      <c r="I5">
        <v>0.01</v>
      </c>
      <c r="J5" t="s">
        <v>29</v>
      </c>
      <c r="K5" s="6">
        <f>ELECTRONICS_ITEMS[[#This Row],[Units]]*ELECTRONICS_ITEMS[[#This Row],[Unit Price]]</f>
        <v>218000</v>
      </c>
      <c r="L5" s="6">
        <f>ELECTRONICS_ITEMS[[#This Row],[Gross Sales]]*(1-ELECTRONICS_ITEMS[[#This Row],[Discount]])</f>
        <v>215820</v>
      </c>
    </row>
    <row r="6" spans="1:12" x14ac:dyDescent="0.35">
      <c r="A6">
        <v>1012</v>
      </c>
      <c r="B6" s="5">
        <v>46062</v>
      </c>
      <c r="C6" t="s">
        <v>13</v>
      </c>
      <c r="D6" t="s">
        <v>17</v>
      </c>
      <c r="E6" t="s">
        <v>21</v>
      </c>
      <c r="F6" t="s">
        <v>25</v>
      </c>
      <c r="G6">
        <v>8</v>
      </c>
      <c r="H6" s="6">
        <v>18200</v>
      </c>
      <c r="I6">
        <v>0</v>
      </c>
      <c r="J6" t="s">
        <v>28</v>
      </c>
      <c r="K6" s="6">
        <f>ELECTRONICS_ITEMS[[#This Row],[Units]]*ELECTRONICS_ITEMS[[#This Row],[Unit Price]]</f>
        <v>145600</v>
      </c>
      <c r="L6" s="6">
        <f>ELECTRONICS_ITEMS[[#This Row],[Gross Sales]]*(1-ELECTRONICS_ITEMS[[#This Row],[Discount]])</f>
        <v>145600</v>
      </c>
    </row>
    <row r="7" spans="1:12" x14ac:dyDescent="0.35">
      <c r="A7">
        <v>1002</v>
      </c>
      <c r="B7" s="5">
        <v>46029</v>
      </c>
      <c r="C7" t="s">
        <v>11</v>
      </c>
      <c r="D7" t="s">
        <v>15</v>
      </c>
      <c r="E7" t="s">
        <v>21</v>
      </c>
      <c r="F7" t="s">
        <v>25</v>
      </c>
      <c r="G7">
        <v>5</v>
      </c>
      <c r="H7" s="6">
        <v>18000</v>
      </c>
      <c r="I7">
        <v>0</v>
      </c>
      <c r="J7" t="s">
        <v>29</v>
      </c>
      <c r="K7" s="6">
        <f>ELECTRONICS_ITEMS[[#This Row],[Units]]*ELECTRONICS_ITEMS[[#This Row],[Unit Price]]</f>
        <v>90000</v>
      </c>
      <c r="L7" s="6">
        <f>ELECTRONICS_ITEMS[[#This Row],[Gross Sales]]*(1-ELECTRONICS_ITEMS[[#This Row],[Discount]])</f>
        <v>90000</v>
      </c>
    </row>
    <row r="8" spans="1:12" x14ac:dyDescent="0.35">
      <c r="A8">
        <v>1017</v>
      </c>
      <c r="B8" s="5">
        <v>46084</v>
      </c>
      <c r="C8" t="s">
        <v>10</v>
      </c>
      <c r="D8" t="s">
        <v>14</v>
      </c>
      <c r="E8" t="s">
        <v>21</v>
      </c>
      <c r="F8" t="s">
        <v>25</v>
      </c>
      <c r="G8">
        <v>6</v>
      </c>
      <c r="H8" s="6">
        <v>17900</v>
      </c>
      <c r="I8">
        <v>0</v>
      </c>
      <c r="J8" t="s">
        <v>28</v>
      </c>
      <c r="K8" s="6">
        <f>ELECTRONICS_ITEMS[[#This Row],[Units]]*ELECTRONICS_ITEMS[[#This Row],[Unit Price]]</f>
        <v>107400</v>
      </c>
      <c r="L8" s="6">
        <f>ELECTRONICS_ITEMS[[#This Row],[Gross Sales]]*(1-ELECTRONICS_ITEMS[[#This Row],[Discount]])</f>
        <v>107400</v>
      </c>
    </row>
    <row r="9" spans="1:12" x14ac:dyDescent="0.35">
      <c r="A9">
        <v>1007</v>
      </c>
      <c r="B9" s="5">
        <v>21</v>
      </c>
      <c r="C9" t="s">
        <v>12</v>
      </c>
      <c r="D9" t="s">
        <v>16</v>
      </c>
      <c r="E9" t="s">
        <v>21</v>
      </c>
      <c r="F9" t="s">
        <v>25</v>
      </c>
      <c r="G9">
        <v>7</v>
      </c>
      <c r="H9" s="6">
        <v>17500</v>
      </c>
      <c r="I9">
        <v>0.05</v>
      </c>
      <c r="J9" t="s">
        <v>28</v>
      </c>
      <c r="K9" s="6">
        <f>ELECTRONICS_ITEMS[[#This Row],[Units]]*ELECTRONICS_ITEMS[[#This Row],[Unit Price]]</f>
        <v>122500</v>
      </c>
      <c r="L9" s="6">
        <f>ELECTRONICS_ITEMS[[#This Row],[Gross Sales]]*(1-ELECTRONICS_ITEMS[[#This Row],[Discount]])</f>
        <v>116375</v>
      </c>
    </row>
    <row r="10" spans="1:12" x14ac:dyDescent="0.35">
      <c r="A10">
        <v>1009</v>
      </c>
      <c r="B10" s="5">
        <v>28</v>
      </c>
      <c r="C10" t="s">
        <v>10</v>
      </c>
      <c r="D10" t="s">
        <v>19</v>
      </c>
      <c r="E10" t="s">
        <v>23</v>
      </c>
      <c r="F10" t="s">
        <v>27</v>
      </c>
      <c r="G10">
        <v>6</v>
      </c>
      <c r="H10" s="6">
        <v>15000</v>
      </c>
      <c r="I10">
        <v>0</v>
      </c>
      <c r="J10" t="s">
        <v>29</v>
      </c>
      <c r="K10" s="6">
        <f>ELECTRONICS_ITEMS[[#This Row],[Units]]*ELECTRONICS_ITEMS[[#This Row],[Unit Price]]</f>
        <v>90000</v>
      </c>
      <c r="L10" s="6">
        <f>ELECTRONICS_ITEMS[[#This Row],[Gross Sales]]*(1-ELECTRONICS_ITEMS[[#This Row],[Discount]])</f>
        <v>90000</v>
      </c>
    </row>
    <row r="11" spans="1:12" x14ac:dyDescent="0.35">
      <c r="A11">
        <v>1014</v>
      </c>
      <c r="B11" s="5">
        <v>46070</v>
      </c>
      <c r="C11" t="s">
        <v>11</v>
      </c>
      <c r="D11" t="s">
        <v>18</v>
      </c>
      <c r="E11" t="s">
        <v>23</v>
      </c>
      <c r="F11" t="s">
        <v>27</v>
      </c>
      <c r="G11">
        <v>5</v>
      </c>
      <c r="H11" s="6">
        <v>14800</v>
      </c>
      <c r="I11">
        <v>0.08</v>
      </c>
      <c r="J11" t="s">
        <v>29</v>
      </c>
      <c r="K11" s="6">
        <f>ELECTRONICS_ITEMS[[#This Row],[Units]]*ELECTRONICS_ITEMS[[#This Row],[Unit Price]]</f>
        <v>74000</v>
      </c>
      <c r="L11" s="6">
        <f>ELECTRONICS_ITEMS[[#This Row],[Gross Sales]]*(1-ELECTRONICS_ITEMS[[#This Row],[Discount]])</f>
        <v>68080</v>
      </c>
    </row>
    <row r="12" spans="1:12" x14ac:dyDescent="0.35">
      <c r="A12">
        <v>1019</v>
      </c>
      <c r="B12" s="5">
        <v>46095</v>
      </c>
      <c r="C12" t="s">
        <v>12</v>
      </c>
      <c r="D12" t="s">
        <v>16</v>
      </c>
      <c r="E12" t="s">
        <v>23</v>
      </c>
      <c r="F12" t="s">
        <v>27</v>
      </c>
      <c r="G12">
        <v>7</v>
      </c>
      <c r="H12" s="6">
        <v>14600</v>
      </c>
      <c r="I12">
        <v>0.05</v>
      </c>
      <c r="J12" t="s">
        <v>29</v>
      </c>
      <c r="K12" s="6">
        <f>ELECTRONICS_ITEMS[[#This Row],[Units]]*ELECTRONICS_ITEMS[[#This Row],[Unit Price]]</f>
        <v>102200</v>
      </c>
      <c r="L12" s="6">
        <f>ELECTRONICS_ITEMS[[#This Row],[Gross Sales]]*(1-ELECTRONICS_ITEMS[[#This Row],[Discount]])</f>
        <v>97090</v>
      </c>
    </row>
    <row r="13" spans="1:12" x14ac:dyDescent="0.35">
      <c r="A13">
        <v>1004</v>
      </c>
      <c r="B13" s="5">
        <v>46034</v>
      </c>
      <c r="C13" t="s">
        <v>13</v>
      </c>
      <c r="D13" t="s">
        <v>17</v>
      </c>
      <c r="E13" t="s">
        <v>23</v>
      </c>
      <c r="F13" t="s">
        <v>27</v>
      </c>
      <c r="G13">
        <v>4</v>
      </c>
      <c r="H13" s="6">
        <v>14500</v>
      </c>
      <c r="I13">
        <v>0.05</v>
      </c>
      <c r="J13" t="s">
        <v>29</v>
      </c>
      <c r="K13" s="6">
        <f>ELECTRONICS_ITEMS[[#This Row],[Units]]*ELECTRONICS_ITEMS[[#This Row],[Unit Price]]</f>
        <v>58000</v>
      </c>
      <c r="L13" s="6">
        <f>ELECTRONICS_ITEMS[[#This Row],[Gross Sales]]*(1-ELECTRONICS_ITEMS[[#This Row],[Discount]])</f>
        <v>55100</v>
      </c>
    </row>
    <row r="14" spans="1:12" x14ac:dyDescent="0.35">
      <c r="A14">
        <v>1013</v>
      </c>
      <c r="B14" s="5">
        <v>46066</v>
      </c>
      <c r="C14" t="s">
        <v>10</v>
      </c>
      <c r="D14" t="s">
        <v>19</v>
      </c>
      <c r="E14" t="s">
        <v>22</v>
      </c>
      <c r="F14" t="s">
        <v>26</v>
      </c>
      <c r="G14">
        <v>10</v>
      </c>
      <c r="H14" s="6">
        <v>2300</v>
      </c>
      <c r="I14">
        <v>0.05</v>
      </c>
      <c r="J14" t="s">
        <v>28</v>
      </c>
      <c r="K14" s="6">
        <f>ELECTRONICS_ITEMS[[#This Row],[Units]]*ELECTRONICS_ITEMS[[#This Row],[Unit Price]]</f>
        <v>23000</v>
      </c>
      <c r="L14" s="6">
        <f>ELECTRONICS_ITEMS[[#This Row],[Gross Sales]]*(1-ELECTRONICS_ITEMS[[#This Row],[Discount]])</f>
        <v>21850</v>
      </c>
    </row>
    <row r="15" spans="1:12" x14ac:dyDescent="0.35">
      <c r="A15">
        <v>1018</v>
      </c>
      <c r="B15" s="5">
        <v>46089</v>
      </c>
      <c r="C15" t="s">
        <v>11</v>
      </c>
      <c r="D15" t="s">
        <v>18</v>
      </c>
      <c r="E15" t="s">
        <v>22</v>
      </c>
      <c r="F15" t="s">
        <v>26</v>
      </c>
      <c r="G15">
        <v>14</v>
      </c>
      <c r="H15" s="6">
        <v>2250</v>
      </c>
      <c r="I15">
        <v>0.1</v>
      </c>
      <c r="J15" t="s">
        <v>28</v>
      </c>
      <c r="K15" s="6">
        <f>ELECTRONICS_ITEMS[[#This Row],[Units]]*ELECTRONICS_ITEMS[[#This Row],[Unit Price]]</f>
        <v>31500</v>
      </c>
      <c r="L15" s="6">
        <f>ELECTRONICS_ITEMS[[#This Row],[Gross Sales]]*(1-ELECTRONICS_ITEMS[[#This Row],[Discount]])</f>
        <v>28350</v>
      </c>
    </row>
    <row r="16" spans="1:12" x14ac:dyDescent="0.35">
      <c r="A16">
        <v>1003</v>
      </c>
      <c r="B16" s="5">
        <v>46031</v>
      </c>
      <c r="C16" t="s">
        <v>12</v>
      </c>
      <c r="D16" t="s">
        <v>16</v>
      </c>
      <c r="E16" t="s">
        <v>22</v>
      </c>
      <c r="F16" t="s">
        <v>26</v>
      </c>
      <c r="G16">
        <v>12</v>
      </c>
      <c r="H16" s="6">
        <v>2200</v>
      </c>
      <c r="I16">
        <v>0.1</v>
      </c>
      <c r="J16" t="s">
        <v>28</v>
      </c>
      <c r="K16" s="6">
        <f>ELECTRONICS_ITEMS[[#This Row],[Units]]*ELECTRONICS_ITEMS[[#This Row],[Unit Price]]</f>
        <v>26400</v>
      </c>
      <c r="L16" s="6">
        <f>ELECTRONICS_ITEMS[[#This Row],[Gross Sales]]*(1-ELECTRONICS_ITEMS[[#This Row],[Discount]])</f>
        <v>23760</v>
      </c>
    </row>
    <row r="17" spans="1:12" x14ac:dyDescent="0.35">
      <c r="A17">
        <v>1008</v>
      </c>
      <c r="B17" s="5">
        <v>24</v>
      </c>
      <c r="C17" t="s">
        <v>13</v>
      </c>
      <c r="D17" t="s">
        <v>17</v>
      </c>
      <c r="E17" t="s">
        <v>22</v>
      </c>
      <c r="F17" t="s">
        <v>26</v>
      </c>
      <c r="G17">
        <v>15</v>
      </c>
      <c r="H17" s="6">
        <v>2100</v>
      </c>
      <c r="I17">
        <v>0.1</v>
      </c>
      <c r="J17" t="s">
        <v>28</v>
      </c>
      <c r="K17" s="6">
        <f>ELECTRONICS_ITEMS[[#This Row],[Units]]*ELECTRONICS_ITEMS[[#This Row],[Unit Price]]</f>
        <v>31500</v>
      </c>
      <c r="L17" s="6">
        <f>ELECTRONICS_ITEMS[[#This Row],[Gross Sales]]*(1-ELECTRONICS_ITEMS[[#This Row],[Discount]])</f>
        <v>28350</v>
      </c>
    </row>
    <row r="18" spans="1:12" x14ac:dyDescent="0.35">
      <c r="A18">
        <v>1020</v>
      </c>
      <c r="B18" s="5">
        <v>46100</v>
      </c>
      <c r="C18" t="s">
        <v>13</v>
      </c>
      <c r="D18" t="s">
        <v>17</v>
      </c>
      <c r="E18" t="s">
        <v>24</v>
      </c>
      <c r="F18" t="s">
        <v>26</v>
      </c>
      <c r="G18">
        <v>22</v>
      </c>
      <c r="H18" s="6">
        <v>920</v>
      </c>
      <c r="I18">
        <v>0</v>
      </c>
      <c r="J18" t="s">
        <v>28</v>
      </c>
      <c r="K18" s="6">
        <f>ELECTRONICS_ITEMS[[#This Row],[Units]]*ELECTRONICS_ITEMS[[#This Row],[Unit Price]]</f>
        <v>20240</v>
      </c>
      <c r="L18" s="6">
        <f>ELECTRONICS_ITEMS[[#This Row],[Gross Sales]]*(1-ELECTRONICS_ITEMS[[#This Row],[Discount]])</f>
        <v>20240</v>
      </c>
    </row>
    <row r="19" spans="1:12" x14ac:dyDescent="0.35">
      <c r="A19">
        <v>1005</v>
      </c>
      <c r="B19" s="5">
        <v>15</v>
      </c>
      <c r="C19" t="s">
        <v>10</v>
      </c>
      <c r="D19" t="s">
        <v>14</v>
      </c>
      <c r="E19" t="s">
        <v>24</v>
      </c>
      <c r="F19" t="s">
        <v>26</v>
      </c>
      <c r="G19">
        <v>20</v>
      </c>
      <c r="H19" s="6">
        <v>900</v>
      </c>
      <c r="I19">
        <v>0</v>
      </c>
      <c r="J19" t="s">
        <v>28</v>
      </c>
      <c r="K19" s="6">
        <f>ELECTRONICS_ITEMS[[#This Row],[Units]]*ELECTRONICS_ITEMS[[#This Row],[Unit Price]]</f>
        <v>18000</v>
      </c>
      <c r="L19" s="6">
        <f>ELECTRONICS_ITEMS[[#This Row],[Gross Sales]]*(1-ELECTRONICS_ITEMS[[#This Row],[Discount]])</f>
        <v>18000</v>
      </c>
    </row>
    <row r="20" spans="1:12" x14ac:dyDescent="0.35">
      <c r="A20">
        <v>1015</v>
      </c>
      <c r="B20" s="5">
        <v>46074</v>
      </c>
      <c r="C20" t="s">
        <v>12</v>
      </c>
      <c r="D20" t="s">
        <v>16</v>
      </c>
      <c r="E20" t="s">
        <v>24</v>
      </c>
      <c r="F20" t="s">
        <v>26</v>
      </c>
      <c r="G20">
        <v>8</v>
      </c>
      <c r="H20" s="6">
        <v>880</v>
      </c>
      <c r="I20">
        <v>0</v>
      </c>
      <c r="J20" t="s">
        <v>28</v>
      </c>
      <c r="K20" s="6">
        <f>ELECTRONICS_ITEMS[[#This Row],[Units]]*ELECTRONICS_ITEMS[[#This Row],[Unit Price]]</f>
        <v>7040</v>
      </c>
      <c r="L20" s="6">
        <f>ELECTRONICS_ITEMS[[#This Row],[Gross Sales]]*(1-ELECTRONICS_ITEMS[[#This Row],[Discount]])</f>
        <v>7040</v>
      </c>
    </row>
    <row r="21" spans="1:12" x14ac:dyDescent="0.35">
      <c r="A21">
        <v>1010</v>
      </c>
      <c r="B21" s="5">
        <v>46055</v>
      </c>
      <c r="C21" t="s">
        <v>11</v>
      </c>
      <c r="D21" t="s">
        <v>18</v>
      </c>
      <c r="E21" t="s">
        <v>24</v>
      </c>
      <c r="F21" t="s">
        <v>26</v>
      </c>
      <c r="G21">
        <v>25</v>
      </c>
      <c r="H21" s="6">
        <v>850</v>
      </c>
      <c r="I21">
        <v>0.05</v>
      </c>
      <c r="J21" t="s">
        <v>28</v>
      </c>
      <c r="K21" s="6">
        <f>ELECTRONICS_ITEMS[[#This Row],[Units]]*ELECTRONICS_ITEMS[[#This Row],[Unit Price]]</f>
        <v>21250</v>
      </c>
      <c r="L21" s="6">
        <f>ELECTRONICS_ITEMS[[#This Row],[Gross Sales]]*(1-ELECTRONICS_ITEMS[[#This Row],[Discount]])</f>
        <v>20187.5</v>
      </c>
    </row>
    <row r="23" spans="1:12" x14ac:dyDescent="0.35">
      <c r="B23" s="5" t="s">
        <v>32</v>
      </c>
      <c r="D23" t="s">
        <v>34</v>
      </c>
      <c r="H23" t="s">
        <v>33</v>
      </c>
      <c r="K23" s="6"/>
    </row>
  </sheetData>
  <conditionalFormatting sqref="A2:A21">
    <cfRule type="duplicateValues" dxfId="3" priority="1"/>
  </conditionalFormatting>
  <conditionalFormatting sqref="H2:H22 H24:H1048576">
    <cfRule type="cellIs" dxfId="2" priority="6" operator="greaterThan">
      <formula>50000</formula>
    </cfRule>
  </conditionalFormatting>
  <conditionalFormatting sqref="I2:I21">
    <cfRule type="cellIs" dxfId="1" priority="2" operator="greaterThanOrEqual">
      <formula>0.1</formula>
    </cfRule>
  </conditionalFormatting>
  <conditionalFormatting sqref="K23">
    <cfRule type="cellIs" dxfId="0" priority="5" operator="greaterThan">
      <formula>50000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26DB5-AA97-42AF-B84B-CA1336A53AA1}">
  <sheetPr>
    <tabColor theme="5" tint="-0.249977111117893"/>
  </sheetPr>
  <dimension ref="A1:Z23"/>
  <sheetViews>
    <sheetView zoomScale="95" zoomScaleNormal="70" workbookViewId="0">
      <selection activeCell="N1" sqref="N1"/>
    </sheetView>
  </sheetViews>
  <sheetFormatPr defaultRowHeight="14.5" x14ac:dyDescent="0.35"/>
  <cols>
    <col min="1" max="1" width="12.26953125" style="9" customWidth="1"/>
    <col min="2" max="2" width="11.90625" style="9" customWidth="1"/>
    <col min="3" max="3" width="10.26953125" style="9" customWidth="1"/>
    <col min="4" max="4" width="14.08984375" style="9" customWidth="1"/>
    <col min="5" max="5" width="10.26953125" style="9" customWidth="1"/>
    <col min="6" max="6" width="12.54296875" style="9" customWidth="1"/>
    <col min="7" max="7" width="8.7265625" style="9"/>
    <col min="8" max="8" width="11.81640625" style="9" customWidth="1"/>
    <col min="9" max="9" width="10.6328125" style="9" customWidth="1"/>
    <col min="10" max="10" width="16.7265625" style="9" customWidth="1"/>
    <col min="11" max="11" width="13.1796875" style="9" customWidth="1"/>
    <col min="12" max="12" width="13" style="9" customWidth="1"/>
    <col min="13" max="13" width="8.7265625" style="9"/>
    <col min="14" max="14" width="19.08984375" style="9" customWidth="1"/>
    <col min="15" max="15" width="13.81640625" style="9" customWidth="1"/>
    <col min="16" max="16" width="8.7265625" style="9"/>
    <col min="17" max="17" width="21.08984375" style="9" customWidth="1"/>
    <col min="18" max="19" width="8.7265625" style="9"/>
    <col min="20" max="20" width="26.08984375" style="9" customWidth="1"/>
    <col min="21" max="21" width="8.7265625" style="9"/>
    <col min="22" max="22" width="15.1796875" style="9" customWidth="1"/>
    <col min="23" max="23" width="8.7265625" style="9"/>
    <col min="24" max="24" width="13.7265625" style="9" customWidth="1"/>
    <col min="25" max="25" width="8.7265625" style="9"/>
    <col min="26" max="26" width="10" style="9" customWidth="1"/>
    <col min="27" max="16384" width="8.7265625" style="9"/>
  </cols>
  <sheetData>
    <row r="1" spans="1:26" ht="45" customHeight="1" x14ac:dyDescent="0.4">
      <c r="A1" s="10" t="s">
        <v>0</v>
      </c>
      <c r="B1" s="10" t="s">
        <v>1</v>
      </c>
      <c r="C1" s="10" t="s">
        <v>2</v>
      </c>
      <c r="D1" s="10" t="s">
        <v>3</v>
      </c>
      <c r="E1" s="10" t="s">
        <v>4</v>
      </c>
      <c r="F1" s="10" t="s">
        <v>5</v>
      </c>
      <c r="G1" s="10" t="s">
        <v>6</v>
      </c>
      <c r="H1" s="10" t="s">
        <v>7</v>
      </c>
      <c r="I1" s="10" t="s">
        <v>8</v>
      </c>
      <c r="J1" s="10" t="s">
        <v>9</v>
      </c>
      <c r="K1" s="10" t="s">
        <v>35</v>
      </c>
      <c r="L1" s="10" t="s">
        <v>36</v>
      </c>
      <c r="N1" s="15" t="s">
        <v>54</v>
      </c>
      <c r="O1" s="9" t="s">
        <v>42</v>
      </c>
      <c r="R1" s="9" t="s">
        <v>55</v>
      </c>
      <c r="T1" s="9" t="s">
        <v>58</v>
      </c>
      <c r="V1" s="9" t="s">
        <v>59</v>
      </c>
      <c r="X1" s="9" t="s">
        <v>60</v>
      </c>
      <c r="Z1" s="9" t="s">
        <v>61</v>
      </c>
    </row>
    <row r="2" spans="1:26" ht="32" customHeight="1" x14ac:dyDescent="0.35">
      <c r="A2" s="9">
        <v>1001</v>
      </c>
      <c r="B2" s="11">
        <v>46027</v>
      </c>
      <c r="C2" s="9" t="s">
        <v>10</v>
      </c>
      <c r="D2" s="9" t="s">
        <v>14</v>
      </c>
      <c r="E2" s="9" t="s">
        <v>20</v>
      </c>
      <c r="F2" s="9" t="s">
        <v>25</v>
      </c>
      <c r="G2" s="9">
        <v>3</v>
      </c>
      <c r="H2" s="12">
        <v>55000</v>
      </c>
      <c r="I2" s="9">
        <v>0.05</v>
      </c>
      <c r="J2" s="9" t="s">
        <v>28</v>
      </c>
      <c r="K2" s="12">
        <v>165000</v>
      </c>
      <c r="L2" s="12">
        <v>156750</v>
      </c>
      <c r="N2" s="9" t="s">
        <v>38</v>
      </c>
      <c r="O2" s="9">
        <f>SUM(SALES_DATA[Units])</f>
        <v>186</v>
      </c>
      <c r="Q2" s="9" t="s">
        <v>57</v>
      </c>
      <c r="R2" s="9">
        <f>COUNTIFS(SALES_DATA[Category],"accessories",SALES_DATA[Customer Type],"retail")</f>
        <v>8</v>
      </c>
      <c r="T2" s="9" t="str" cm="1">
        <f t="array" ref="T2:T21">IF(SALES_DATA[Net Sales]&gt;100000,"High","Normal")</f>
        <v>High</v>
      </c>
      <c r="V2" s="12" cm="1">
        <f t="array" ref="V2:V21">ROUND(SALES_DATA[Net Sales],0)</f>
        <v>156750</v>
      </c>
      <c r="X2" s="9" t="str">
        <f>LEFT(SALES_DATA[[#This Row],[Order ID]],3)</f>
        <v>100</v>
      </c>
      <c r="Z2" s="9">
        <f>MONTH(SALES_DATA[[#This Row],[Date]])</f>
        <v>1</v>
      </c>
    </row>
    <row r="3" spans="1:26" x14ac:dyDescent="0.35">
      <c r="A3" s="9">
        <v>1002</v>
      </c>
      <c r="B3" s="11">
        <v>46029</v>
      </c>
      <c r="C3" s="9" t="s">
        <v>11</v>
      </c>
      <c r="D3" s="9" t="s">
        <v>15</v>
      </c>
      <c r="E3" s="9" t="s">
        <v>21</v>
      </c>
      <c r="F3" s="9" t="s">
        <v>25</v>
      </c>
      <c r="G3" s="9">
        <v>5</v>
      </c>
      <c r="H3" s="13">
        <v>18000</v>
      </c>
      <c r="I3" s="9">
        <v>0</v>
      </c>
      <c r="J3" s="9" t="s">
        <v>29</v>
      </c>
      <c r="K3" s="12">
        <v>90000</v>
      </c>
      <c r="L3" s="12">
        <v>90000</v>
      </c>
      <c r="N3" s="9" t="s">
        <v>39</v>
      </c>
      <c r="O3" s="12">
        <f>SUM(SALES_DATA[Net Sales])</f>
        <v>1575482.5</v>
      </c>
      <c r="T3" s="9" t="str">
        <v>Normal</v>
      </c>
      <c r="V3" s="12">
        <v>90000</v>
      </c>
      <c r="X3" s="9" t="str">
        <f>LEFT(SALES_DATA[[#This Row],[Order ID]],3)</f>
        <v>100</v>
      </c>
      <c r="Z3" s="9">
        <f>MONTH(SALES_DATA[[#This Row],[Date]])</f>
        <v>1</v>
      </c>
    </row>
    <row r="4" spans="1:26" x14ac:dyDescent="0.35">
      <c r="A4" s="9">
        <v>1003</v>
      </c>
      <c r="B4" s="11">
        <v>46031</v>
      </c>
      <c r="C4" s="9" t="s">
        <v>12</v>
      </c>
      <c r="D4" s="9" t="s">
        <v>16</v>
      </c>
      <c r="E4" s="9" t="s">
        <v>22</v>
      </c>
      <c r="F4" s="9" t="s">
        <v>26</v>
      </c>
      <c r="G4" s="9">
        <v>12</v>
      </c>
      <c r="H4" s="13">
        <v>2200</v>
      </c>
      <c r="I4" s="9">
        <v>0.1</v>
      </c>
      <c r="J4" s="9" t="s">
        <v>28</v>
      </c>
      <c r="K4" s="12">
        <v>26400</v>
      </c>
      <c r="L4" s="12">
        <v>23760</v>
      </c>
      <c r="N4" s="9" t="s">
        <v>40</v>
      </c>
      <c r="T4" s="9" t="str">
        <v>Normal</v>
      </c>
      <c r="V4" s="12">
        <v>23760</v>
      </c>
      <c r="X4" s="9" t="str">
        <f>LEFT(SALES_DATA[[#This Row],[Order ID]],3)</f>
        <v>100</v>
      </c>
      <c r="Z4" s="9">
        <f>MONTH(SALES_DATA[[#This Row],[Date]])</f>
        <v>1</v>
      </c>
    </row>
    <row r="5" spans="1:26" x14ac:dyDescent="0.35">
      <c r="A5" s="9">
        <v>1004</v>
      </c>
      <c r="B5" s="11">
        <v>46034</v>
      </c>
      <c r="C5" s="9" t="s">
        <v>13</v>
      </c>
      <c r="D5" s="9" t="s">
        <v>17</v>
      </c>
      <c r="E5" s="9" t="s">
        <v>23</v>
      </c>
      <c r="F5" s="9" t="s">
        <v>27</v>
      </c>
      <c r="G5" s="9">
        <v>4</v>
      </c>
      <c r="H5" s="13">
        <v>14500</v>
      </c>
      <c r="I5" s="9">
        <v>0.05</v>
      </c>
      <c r="J5" s="9" t="s">
        <v>29</v>
      </c>
      <c r="K5" s="12">
        <v>58000</v>
      </c>
      <c r="L5" s="12">
        <v>55100</v>
      </c>
      <c r="O5" s="9" t="s">
        <v>43</v>
      </c>
      <c r="T5" s="9" t="str">
        <v>Normal</v>
      </c>
      <c r="V5" s="12">
        <v>55100</v>
      </c>
      <c r="X5" s="9" t="str">
        <f>LEFT(SALES_DATA[[#This Row],[Order ID]],3)</f>
        <v>100</v>
      </c>
      <c r="Z5" s="9">
        <f>MONTH(SALES_DATA[[#This Row],[Date]])</f>
        <v>1</v>
      </c>
    </row>
    <row r="6" spans="1:26" x14ac:dyDescent="0.35">
      <c r="A6" s="9">
        <v>1005</v>
      </c>
      <c r="B6" s="11">
        <v>46037</v>
      </c>
      <c r="C6" s="9" t="s">
        <v>10</v>
      </c>
      <c r="D6" s="9" t="s">
        <v>14</v>
      </c>
      <c r="E6" s="9" t="s">
        <v>24</v>
      </c>
      <c r="F6" s="9" t="s">
        <v>26</v>
      </c>
      <c r="G6" s="9">
        <v>20</v>
      </c>
      <c r="H6" s="13">
        <v>900</v>
      </c>
      <c r="I6" s="9">
        <v>0</v>
      </c>
      <c r="J6" s="9" t="s">
        <v>28</v>
      </c>
      <c r="K6" s="12">
        <v>18000</v>
      </c>
      <c r="L6" s="12">
        <v>18000</v>
      </c>
      <c r="N6" s="9" t="s">
        <v>44</v>
      </c>
      <c r="O6" s="12">
        <f>AVERAGE(SALES_DATA[Unit Price])</f>
        <v>18270</v>
      </c>
      <c r="T6" s="9" t="str">
        <v>Normal</v>
      </c>
      <c r="V6" s="12">
        <v>18000</v>
      </c>
      <c r="X6" s="9" t="str">
        <f>LEFT(SALES_DATA[[#This Row],[Order ID]],3)</f>
        <v>100</v>
      </c>
      <c r="Z6" s="9">
        <f>MONTH(SALES_DATA[[#This Row],[Date]])</f>
        <v>1</v>
      </c>
    </row>
    <row r="7" spans="1:26" x14ac:dyDescent="0.35">
      <c r="A7" s="9">
        <v>1006</v>
      </c>
      <c r="B7" s="11">
        <v>46040</v>
      </c>
      <c r="C7" s="9" t="s">
        <v>11</v>
      </c>
      <c r="D7" s="9" t="s">
        <v>18</v>
      </c>
      <c r="E7" s="9" t="s">
        <v>20</v>
      </c>
      <c r="F7" s="9" t="s">
        <v>25</v>
      </c>
      <c r="G7" s="9">
        <v>2</v>
      </c>
      <c r="H7" s="14">
        <v>56000</v>
      </c>
      <c r="I7" s="9">
        <v>0.08</v>
      </c>
      <c r="J7" s="9" t="s">
        <v>29</v>
      </c>
      <c r="K7" s="12">
        <v>112000</v>
      </c>
      <c r="L7" s="12">
        <v>103040</v>
      </c>
      <c r="T7" s="9" t="str">
        <v>High</v>
      </c>
      <c r="V7" s="12">
        <v>103040</v>
      </c>
      <c r="X7" s="9" t="str">
        <f>LEFT(SALES_DATA[[#This Row],[Order ID]],3)</f>
        <v>100</v>
      </c>
      <c r="Z7" s="9">
        <f>MONTH(SALES_DATA[[#This Row],[Date]])</f>
        <v>1</v>
      </c>
    </row>
    <row r="8" spans="1:26" x14ac:dyDescent="0.35">
      <c r="A8" s="9">
        <v>1007</v>
      </c>
      <c r="B8" s="11">
        <v>46043</v>
      </c>
      <c r="C8" s="9" t="s">
        <v>12</v>
      </c>
      <c r="D8" s="9" t="s">
        <v>16</v>
      </c>
      <c r="E8" s="9" t="s">
        <v>21</v>
      </c>
      <c r="F8" s="9" t="s">
        <v>25</v>
      </c>
      <c r="G8" s="9">
        <v>7</v>
      </c>
      <c r="H8" s="13">
        <v>17500</v>
      </c>
      <c r="I8" s="9">
        <v>0.05</v>
      </c>
      <c r="J8" s="9" t="s">
        <v>28</v>
      </c>
      <c r="K8" s="12">
        <v>122500</v>
      </c>
      <c r="L8" s="12">
        <v>116375</v>
      </c>
      <c r="O8" s="9" t="s">
        <v>45</v>
      </c>
      <c r="T8" s="9" t="str">
        <v>High</v>
      </c>
      <c r="V8" s="12">
        <v>116375</v>
      </c>
      <c r="X8" s="9" t="str">
        <f>LEFT(SALES_DATA[[#This Row],[Order ID]],3)</f>
        <v>100</v>
      </c>
      <c r="Z8" s="9">
        <f>MONTH(SALES_DATA[[#This Row],[Date]])</f>
        <v>1</v>
      </c>
    </row>
    <row r="9" spans="1:26" x14ac:dyDescent="0.35">
      <c r="A9" s="9">
        <v>1008</v>
      </c>
      <c r="B9" s="11">
        <v>46046</v>
      </c>
      <c r="C9" s="9" t="s">
        <v>13</v>
      </c>
      <c r="D9" s="9" t="s">
        <v>17</v>
      </c>
      <c r="E9" s="9" t="s">
        <v>22</v>
      </c>
      <c r="F9" s="9" t="s">
        <v>26</v>
      </c>
      <c r="G9" s="9">
        <v>15</v>
      </c>
      <c r="H9" s="13">
        <v>2100</v>
      </c>
      <c r="I9" s="9">
        <v>0.1</v>
      </c>
      <c r="J9" s="9" t="s">
        <v>28</v>
      </c>
      <c r="K9" s="12">
        <v>31500</v>
      </c>
      <c r="L9" s="12">
        <v>28350</v>
      </c>
      <c r="N9" s="9" t="s">
        <v>46</v>
      </c>
      <c r="O9" s="12">
        <f>MAX(SALES_DATA[Unit Price])</f>
        <v>57000</v>
      </c>
      <c r="T9" s="9" t="str">
        <v>Normal</v>
      </c>
      <c r="V9" s="12">
        <v>28350</v>
      </c>
      <c r="X9" s="9" t="str">
        <f>LEFT(SALES_DATA[[#This Row],[Order ID]],3)</f>
        <v>100</v>
      </c>
      <c r="Z9" s="9">
        <f>MONTH(SALES_DATA[[#This Row],[Date]])</f>
        <v>1</v>
      </c>
    </row>
    <row r="10" spans="1:26" x14ac:dyDescent="0.35">
      <c r="A10" s="9">
        <v>1009</v>
      </c>
      <c r="B10" s="11">
        <v>46050</v>
      </c>
      <c r="C10" s="9" t="s">
        <v>10</v>
      </c>
      <c r="D10" s="9" t="s">
        <v>19</v>
      </c>
      <c r="E10" s="9" t="s">
        <v>23</v>
      </c>
      <c r="F10" s="9" t="s">
        <v>27</v>
      </c>
      <c r="G10" s="9">
        <v>6</v>
      </c>
      <c r="H10" s="13">
        <v>15000</v>
      </c>
      <c r="I10" s="9">
        <v>0</v>
      </c>
      <c r="J10" s="9" t="s">
        <v>29</v>
      </c>
      <c r="K10" s="12">
        <v>90000</v>
      </c>
      <c r="L10" s="12">
        <v>90000</v>
      </c>
      <c r="N10" s="9" t="s">
        <v>47</v>
      </c>
      <c r="O10" s="12">
        <f>MIN(SALES_DATA[Unit Price])</f>
        <v>850</v>
      </c>
      <c r="T10" s="9" t="str">
        <v>Normal</v>
      </c>
      <c r="V10" s="12">
        <v>90000</v>
      </c>
      <c r="X10" s="9" t="str">
        <f>LEFT(SALES_DATA[[#This Row],[Order ID]],3)</f>
        <v>100</v>
      </c>
      <c r="Z10" s="9">
        <f>MONTH(SALES_DATA[[#This Row],[Date]])</f>
        <v>1</v>
      </c>
    </row>
    <row r="11" spans="1:26" x14ac:dyDescent="0.35">
      <c r="A11" s="9">
        <v>1010</v>
      </c>
      <c r="B11" s="11">
        <v>46055</v>
      </c>
      <c r="C11" s="9" t="s">
        <v>11</v>
      </c>
      <c r="D11" s="9" t="s">
        <v>18</v>
      </c>
      <c r="E11" s="9" t="s">
        <v>24</v>
      </c>
      <c r="F11" s="9" t="s">
        <v>26</v>
      </c>
      <c r="G11" s="9">
        <v>25</v>
      </c>
      <c r="H11" s="13">
        <v>850</v>
      </c>
      <c r="I11" s="9">
        <v>0.05</v>
      </c>
      <c r="J11" s="9" t="s">
        <v>28</v>
      </c>
      <c r="K11" s="12">
        <v>21250</v>
      </c>
      <c r="L11" s="12">
        <v>20187.5</v>
      </c>
      <c r="T11" s="9" t="str">
        <v>Normal</v>
      </c>
      <c r="V11" s="12">
        <v>20188</v>
      </c>
      <c r="X11" s="9" t="str">
        <f>LEFT(SALES_DATA[[#This Row],[Order ID]],3)</f>
        <v>101</v>
      </c>
      <c r="Z11" s="9">
        <f>MONTH(SALES_DATA[[#This Row],[Date]])</f>
        <v>2</v>
      </c>
    </row>
    <row r="12" spans="1:26" x14ac:dyDescent="0.35">
      <c r="A12" s="9">
        <v>1011</v>
      </c>
      <c r="B12" s="11">
        <v>46058</v>
      </c>
      <c r="C12" s="9" t="s">
        <v>12</v>
      </c>
      <c r="D12" s="9" t="s">
        <v>16</v>
      </c>
      <c r="E12" s="9" t="s">
        <v>20</v>
      </c>
      <c r="F12" s="9" t="s">
        <v>25</v>
      </c>
      <c r="G12" s="9">
        <v>4</v>
      </c>
      <c r="H12" s="12">
        <v>54500</v>
      </c>
      <c r="I12" s="9">
        <v>0.01</v>
      </c>
      <c r="J12" s="9" t="s">
        <v>29</v>
      </c>
      <c r="K12" s="12">
        <v>218000</v>
      </c>
      <c r="L12" s="12">
        <v>215820</v>
      </c>
      <c r="O12" s="9" t="s">
        <v>37</v>
      </c>
      <c r="T12" s="9" t="str">
        <v>High</v>
      </c>
      <c r="V12" s="12">
        <v>215820</v>
      </c>
      <c r="X12" s="9" t="str">
        <f>LEFT(SALES_DATA[[#This Row],[Order ID]],3)</f>
        <v>101</v>
      </c>
      <c r="Z12" s="9">
        <f>MONTH(SALES_DATA[[#This Row],[Date]])</f>
        <v>2</v>
      </c>
    </row>
    <row r="13" spans="1:26" ht="29" x14ac:dyDescent="0.35">
      <c r="A13" s="9">
        <v>1012</v>
      </c>
      <c r="B13" s="11">
        <v>46062</v>
      </c>
      <c r="C13" s="9" t="s">
        <v>13</v>
      </c>
      <c r="D13" s="9" t="s">
        <v>17</v>
      </c>
      <c r="E13" s="9" t="s">
        <v>21</v>
      </c>
      <c r="F13" s="9" t="s">
        <v>25</v>
      </c>
      <c r="G13" s="9">
        <v>8</v>
      </c>
      <c r="H13" s="13">
        <v>18200</v>
      </c>
      <c r="I13" s="9">
        <v>0</v>
      </c>
      <c r="J13" s="9" t="s">
        <v>28</v>
      </c>
      <c r="K13" s="12">
        <v>145600</v>
      </c>
      <c r="L13" s="12">
        <v>145600</v>
      </c>
      <c r="N13" s="9" t="s">
        <v>49</v>
      </c>
      <c r="O13" s="9">
        <f>COUNT(SALES_DATA[])</f>
        <v>140</v>
      </c>
      <c r="T13" s="9" t="str">
        <v>High</v>
      </c>
      <c r="V13" s="12">
        <v>145600</v>
      </c>
      <c r="X13" s="9" t="str">
        <f>LEFT(SALES_DATA[[#This Row],[Order ID]],3)</f>
        <v>101</v>
      </c>
      <c r="Z13" s="9">
        <f>MONTH(SALES_DATA[[#This Row],[Date]])</f>
        <v>2</v>
      </c>
    </row>
    <row r="14" spans="1:26" ht="28.5" customHeight="1" x14ac:dyDescent="0.35">
      <c r="A14" s="9">
        <v>1013</v>
      </c>
      <c r="B14" s="11">
        <v>46066</v>
      </c>
      <c r="C14" s="9" t="s">
        <v>10</v>
      </c>
      <c r="D14" s="9" t="s">
        <v>19</v>
      </c>
      <c r="E14" s="9" t="s">
        <v>22</v>
      </c>
      <c r="F14" s="9" t="s">
        <v>26</v>
      </c>
      <c r="G14" s="9">
        <v>10</v>
      </c>
      <c r="H14" s="13">
        <v>2300</v>
      </c>
      <c r="I14" s="9">
        <v>0.05</v>
      </c>
      <c r="J14" s="9" t="s">
        <v>28</v>
      </c>
      <c r="K14" s="12">
        <v>23000</v>
      </c>
      <c r="L14" s="12">
        <v>21850</v>
      </c>
      <c r="N14" s="9" t="s">
        <v>48</v>
      </c>
      <c r="O14" s="9">
        <f>COUNTA(SALES_DATA[Order ID])</f>
        <v>20</v>
      </c>
      <c r="T14" s="9" t="str">
        <v>Normal</v>
      </c>
      <c r="V14" s="12">
        <v>21850</v>
      </c>
      <c r="X14" s="9" t="str">
        <f>LEFT(SALES_DATA[[#This Row],[Order ID]],3)</f>
        <v>101</v>
      </c>
      <c r="Z14" s="9">
        <f>MONTH(SALES_DATA[[#This Row],[Date]])</f>
        <v>2</v>
      </c>
    </row>
    <row r="15" spans="1:26" x14ac:dyDescent="0.35">
      <c r="A15" s="9">
        <v>1014</v>
      </c>
      <c r="B15" s="11">
        <v>46070</v>
      </c>
      <c r="C15" s="9" t="s">
        <v>11</v>
      </c>
      <c r="D15" s="9" t="s">
        <v>18</v>
      </c>
      <c r="E15" s="9" t="s">
        <v>23</v>
      </c>
      <c r="F15" s="9" t="s">
        <v>27</v>
      </c>
      <c r="G15" s="9">
        <v>5</v>
      </c>
      <c r="H15" s="13">
        <v>14800</v>
      </c>
      <c r="I15" s="9">
        <v>0.08</v>
      </c>
      <c r="J15" s="9" t="s">
        <v>29</v>
      </c>
      <c r="K15" s="12">
        <v>74000</v>
      </c>
      <c r="L15" s="12">
        <v>68080</v>
      </c>
      <c r="T15" s="9" t="str">
        <v>Normal</v>
      </c>
      <c r="V15" s="12">
        <v>68080</v>
      </c>
      <c r="X15" s="9" t="str">
        <f>LEFT(SALES_DATA[[#This Row],[Order ID]],3)</f>
        <v>101</v>
      </c>
      <c r="Z15" s="9">
        <f>MONTH(SALES_DATA[[#This Row],[Date]])</f>
        <v>2</v>
      </c>
    </row>
    <row r="16" spans="1:26" x14ac:dyDescent="0.35">
      <c r="A16" s="9">
        <v>1015</v>
      </c>
      <c r="B16" s="11">
        <v>46074</v>
      </c>
      <c r="C16" s="9" t="s">
        <v>12</v>
      </c>
      <c r="D16" s="9" t="s">
        <v>16</v>
      </c>
      <c r="E16" s="9" t="s">
        <v>24</v>
      </c>
      <c r="F16" s="9" t="s">
        <v>26</v>
      </c>
      <c r="G16" s="9">
        <v>8</v>
      </c>
      <c r="H16" s="13">
        <v>880</v>
      </c>
      <c r="I16" s="9">
        <v>0</v>
      </c>
      <c r="J16" s="9" t="s">
        <v>28</v>
      </c>
      <c r="K16" s="12">
        <v>7040</v>
      </c>
      <c r="L16" s="12">
        <v>7040</v>
      </c>
      <c r="O16" s="9" t="s">
        <v>41</v>
      </c>
      <c r="T16" s="9" t="str">
        <v>Normal</v>
      </c>
      <c r="V16" s="12">
        <v>7040</v>
      </c>
      <c r="X16" s="9" t="str">
        <f>LEFT(SALES_DATA[[#This Row],[Order ID]],3)</f>
        <v>101</v>
      </c>
      <c r="Z16" s="9">
        <f>MONTH(SALES_DATA[[#This Row],[Date]])</f>
        <v>2</v>
      </c>
    </row>
    <row r="17" spans="1:26" ht="29" x14ac:dyDescent="0.35">
      <c r="A17" s="9">
        <v>1016</v>
      </c>
      <c r="B17" s="11">
        <v>46078</v>
      </c>
      <c r="C17" s="9" t="s">
        <v>13</v>
      </c>
      <c r="D17" s="9" t="s">
        <v>17</v>
      </c>
      <c r="E17" s="9" t="s">
        <v>20</v>
      </c>
      <c r="F17" s="9" t="s">
        <v>25</v>
      </c>
      <c r="G17" s="9">
        <v>3</v>
      </c>
      <c r="H17" s="12">
        <v>57000</v>
      </c>
      <c r="I17" s="9">
        <v>0.05</v>
      </c>
      <c r="J17" s="9" t="s">
        <v>29</v>
      </c>
      <c r="K17" s="12">
        <v>171000</v>
      </c>
      <c r="L17" s="12">
        <v>162450</v>
      </c>
      <c r="N17" s="9" t="s">
        <v>50</v>
      </c>
      <c r="O17" s="9">
        <f>COUNTIF(F:F,"electronics")</f>
        <v>8</v>
      </c>
      <c r="T17" s="9" t="str">
        <v>High</v>
      </c>
      <c r="V17" s="12">
        <v>162450</v>
      </c>
      <c r="X17" s="9" t="str">
        <f>LEFT(SALES_DATA[[#This Row],[Order ID]],3)</f>
        <v>101</v>
      </c>
      <c r="Z17" s="9">
        <f>MONTH(SALES_DATA[[#This Row],[Date]])</f>
        <v>2</v>
      </c>
    </row>
    <row r="18" spans="1:26" x14ac:dyDescent="0.35">
      <c r="A18" s="9">
        <v>1017</v>
      </c>
      <c r="B18" s="11">
        <v>46084</v>
      </c>
      <c r="C18" s="9" t="s">
        <v>10</v>
      </c>
      <c r="D18" s="9" t="s">
        <v>14</v>
      </c>
      <c r="E18" s="9" t="s">
        <v>21</v>
      </c>
      <c r="F18" s="9" t="s">
        <v>25</v>
      </c>
      <c r="G18" s="9">
        <v>6</v>
      </c>
      <c r="H18" s="13">
        <v>17900</v>
      </c>
      <c r="I18" s="9">
        <v>0</v>
      </c>
      <c r="J18" s="9" t="s">
        <v>28</v>
      </c>
      <c r="K18" s="12">
        <v>107400</v>
      </c>
      <c r="L18" s="12">
        <v>107400</v>
      </c>
      <c r="T18" s="9" t="str">
        <v>High</v>
      </c>
      <c r="V18" s="12">
        <v>107400</v>
      </c>
      <c r="X18" s="9" t="str">
        <f>LEFT(SALES_DATA[[#This Row],[Order ID]],3)</f>
        <v>101</v>
      </c>
      <c r="Z18" s="9">
        <f>MONTH(SALES_DATA[[#This Row],[Date]])</f>
        <v>3</v>
      </c>
    </row>
    <row r="19" spans="1:26" x14ac:dyDescent="0.35">
      <c r="A19" s="9">
        <v>1018</v>
      </c>
      <c r="B19" s="11">
        <v>46089</v>
      </c>
      <c r="C19" s="9" t="s">
        <v>11</v>
      </c>
      <c r="D19" s="9" t="s">
        <v>18</v>
      </c>
      <c r="E19" s="9" t="s">
        <v>22</v>
      </c>
      <c r="F19" s="9" t="s">
        <v>26</v>
      </c>
      <c r="G19" s="9">
        <v>14</v>
      </c>
      <c r="H19" s="13">
        <v>2250</v>
      </c>
      <c r="I19" s="9">
        <v>0.1</v>
      </c>
      <c r="J19" s="9" t="s">
        <v>28</v>
      </c>
      <c r="K19" s="12">
        <v>31500</v>
      </c>
      <c r="L19" s="12">
        <v>28350</v>
      </c>
      <c r="O19" s="9" t="s">
        <v>52</v>
      </c>
      <c r="T19" s="9" t="str">
        <v>Normal</v>
      </c>
      <c r="V19" s="12">
        <v>28350</v>
      </c>
      <c r="X19" s="9" t="str">
        <f>LEFT(SALES_DATA[[#This Row],[Order ID]],3)</f>
        <v>101</v>
      </c>
      <c r="Z19" s="9">
        <f>MONTH(SALES_DATA[[#This Row],[Date]])</f>
        <v>3</v>
      </c>
    </row>
    <row r="20" spans="1:26" ht="29" x14ac:dyDescent="0.35">
      <c r="A20" s="9">
        <v>1019</v>
      </c>
      <c r="B20" s="11">
        <v>46095</v>
      </c>
      <c r="C20" s="9" t="s">
        <v>12</v>
      </c>
      <c r="D20" s="9" t="s">
        <v>16</v>
      </c>
      <c r="E20" s="9" t="s">
        <v>23</v>
      </c>
      <c r="F20" s="9" t="s">
        <v>27</v>
      </c>
      <c r="G20" s="9">
        <v>7</v>
      </c>
      <c r="H20" s="13">
        <v>14600</v>
      </c>
      <c r="I20" s="9">
        <v>0.05</v>
      </c>
      <c r="J20" s="9" t="s">
        <v>29</v>
      </c>
      <c r="K20" s="12">
        <v>102200</v>
      </c>
      <c r="L20" s="12">
        <v>97090</v>
      </c>
      <c r="N20" s="9" t="s">
        <v>51</v>
      </c>
      <c r="O20" s="12">
        <f>SUMIF(SALES_DATA[Region],"North",SALES_DATA[Net Sales])</f>
        <v>394000</v>
      </c>
      <c r="T20" s="9" t="str">
        <v>Normal</v>
      </c>
      <c r="V20" s="12">
        <v>97090</v>
      </c>
      <c r="X20" s="9" t="str">
        <f>LEFT(SALES_DATA[[#This Row],[Order ID]],3)</f>
        <v>101</v>
      </c>
      <c r="Z20" s="9">
        <f>MONTH(SALES_DATA[[#This Row],[Date]])</f>
        <v>3</v>
      </c>
    </row>
    <row r="21" spans="1:26" x14ac:dyDescent="0.35">
      <c r="A21" s="9">
        <v>1020</v>
      </c>
      <c r="B21" s="11">
        <v>46100</v>
      </c>
      <c r="C21" s="9" t="s">
        <v>13</v>
      </c>
      <c r="D21" s="9" t="s">
        <v>17</v>
      </c>
      <c r="E21" s="9" t="s">
        <v>24</v>
      </c>
      <c r="F21" s="9" t="s">
        <v>26</v>
      </c>
      <c r="G21" s="9">
        <v>22</v>
      </c>
      <c r="H21" s="13">
        <v>920</v>
      </c>
      <c r="I21" s="9">
        <v>0</v>
      </c>
      <c r="J21" s="9" t="s">
        <v>28</v>
      </c>
      <c r="K21" s="12">
        <v>20240</v>
      </c>
      <c r="L21" s="12">
        <v>20240</v>
      </c>
      <c r="T21" s="9" t="str">
        <v>Normal</v>
      </c>
      <c r="V21" s="12">
        <v>20240</v>
      </c>
      <c r="X21" s="9" t="str">
        <f>LEFT(SALES_DATA[[#This Row],[Order ID]],3)</f>
        <v>102</v>
      </c>
      <c r="Z21" s="9">
        <f>MONTH(SALES_DATA[[#This Row],[Date]])</f>
        <v>3</v>
      </c>
    </row>
    <row r="22" spans="1:26" x14ac:dyDescent="0.35">
      <c r="O22" s="9" t="s">
        <v>53</v>
      </c>
    </row>
    <row r="23" spans="1:26" ht="43.5" x14ac:dyDescent="0.35">
      <c r="N23" s="9" t="s">
        <v>56</v>
      </c>
      <c r="O23" s="12">
        <f>SUMIFS(SALES_DATA[Net Sales],SALES_DATA[Customer Type],"corporate",SALES_DATA[Region],"west")</f>
        <v>261120</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7AB51-A091-4F84-B609-CFA7C4625215}">
  <sheetPr>
    <tabColor theme="4" tint="-0.249977111117893"/>
  </sheetPr>
  <dimension ref="A1:Z21"/>
  <sheetViews>
    <sheetView zoomScale="94" zoomScaleNormal="85" workbookViewId="0">
      <selection activeCell="C5" sqref="C5"/>
    </sheetView>
  </sheetViews>
  <sheetFormatPr defaultRowHeight="14.5" x14ac:dyDescent="0.35"/>
  <cols>
    <col min="1" max="1" width="11.08984375" customWidth="1"/>
    <col min="2" max="2" width="13.54296875" customWidth="1"/>
    <col min="3" max="3" width="9.90625" customWidth="1"/>
    <col min="4" max="4" width="15.36328125" customWidth="1"/>
    <col min="5" max="5" width="12" customWidth="1"/>
    <col min="6" max="6" width="12.1796875" customWidth="1"/>
    <col min="7" max="7" width="9.1796875" customWidth="1"/>
    <col min="8" max="8" width="12.7265625" customWidth="1"/>
    <col min="9" max="9" width="16.81640625" customWidth="1"/>
    <col min="10" max="10" width="12.08984375" customWidth="1"/>
    <col min="11" max="11" width="17.6328125" customWidth="1"/>
    <col min="12" max="12" width="14.08984375" customWidth="1"/>
    <col min="13" max="13" width="12.81640625" customWidth="1"/>
    <col min="15" max="15" width="14.08984375" customWidth="1"/>
    <col min="18" max="18" width="9.54296875" customWidth="1"/>
    <col min="19" max="19" width="11.08984375" customWidth="1"/>
    <col min="20" max="20" width="15.90625" customWidth="1"/>
    <col min="22" max="22" width="16.90625" customWidth="1"/>
    <col min="24" max="24" width="13.36328125" customWidth="1"/>
    <col min="25" max="25" width="11.36328125" customWidth="1"/>
    <col min="26" max="26" width="9.6328125" customWidth="1"/>
  </cols>
  <sheetData>
    <row r="1" spans="1:26" ht="28.5" customHeight="1" x14ac:dyDescent="0.4">
      <c r="A1" s="10" t="s">
        <v>0</v>
      </c>
      <c r="B1" s="10" t="s">
        <v>1</v>
      </c>
      <c r="C1" s="10" t="s">
        <v>2</v>
      </c>
      <c r="D1" s="10" t="s">
        <v>3</v>
      </c>
      <c r="E1" s="10" t="s">
        <v>4</v>
      </c>
      <c r="F1" s="10" t="s">
        <v>5</v>
      </c>
      <c r="G1" s="10" t="s">
        <v>6</v>
      </c>
      <c r="H1" s="10" t="s">
        <v>7</v>
      </c>
      <c r="I1" s="10" t="s">
        <v>63</v>
      </c>
      <c r="J1" s="10" t="s">
        <v>8</v>
      </c>
      <c r="K1" s="10" t="s">
        <v>9</v>
      </c>
      <c r="L1" s="10" t="s">
        <v>35</v>
      </c>
      <c r="M1" s="10" t="s">
        <v>36</v>
      </c>
      <c r="O1" s="15" t="s">
        <v>54</v>
      </c>
      <c r="Q1" t="s">
        <v>62</v>
      </c>
      <c r="R1" s="16" t="s">
        <v>4</v>
      </c>
      <c r="S1" s="16" t="s">
        <v>5</v>
      </c>
      <c r="T1" s="16" t="s">
        <v>64</v>
      </c>
      <c r="V1" s="16" t="s">
        <v>42</v>
      </c>
      <c r="X1" s="16" t="s">
        <v>43</v>
      </c>
      <c r="Y1" s="16" t="s">
        <v>45</v>
      </c>
      <c r="Z1" s="16" t="s">
        <v>37</v>
      </c>
    </row>
    <row r="2" spans="1:26" x14ac:dyDescent="0.35">
      <c r="A2" s="9">
        <v>1001</v>
      </c>
      <c r="B2" s="11">
        <v>46027</v>
      </c>
      <c r="C2" s="9" t="s">
        <v>10</v>
      </c>
      <c r="D2" s="9" t="s">
        <v>14</v>
      </c>
      <c r="E2" s="9" t="s">
        <v>20</v>
      </c>
      <c r="F2" s="9" t="str">
        <f>_xlfn.XLOOKUP(E2,$R$2:$R$6,$S$2:$S$6)</f>
        <v>Electronics</v>
      </c>
      <c r="G2" s="9">
        <v>3</v>
      </c>
      <c r="H2" s="12">
        <v>55000</v>
      </c>
      <c r="I2" s="12">
        <f>_xlfn.XLOOKUP(SALES_DATA4[[#This Row],[Product]],$R$2:$R$6,$T$2:$T$6)</f>
        <v>55000</v>
      </c>
      <c r="J2" s="9">
        <v>0.05</v>
      </c>
      <c r="K2" s="9" t="s">
        <v>28</v>
      </c>
      <c r="L2" s="12">
        <v>165000</v>
      </c>
      <c r="M2" s="12">
        <v>156750</v>
      </c>
      <c r="R2" t="s">
        <v>20</v>
      </c>
      <c r="S2" t="s">
        <v>25</v>
      </c>
      <c r="T2">
        <v>55000</v>
      </c>
      <c r="V2" t="str">
        <f>IF(SALES_DATA4[[#This Row],[Unit Price]]&gt;SALES_DATA4[[#This Row],[Standard Price]],"Above Standard","Within Standard")</f>
        <v>Within Standard</v>
      </c>
      <c r="X2" t="str">
        <f>IF(SALES_DATA4[[#This Row],[Customer Type]]="Retail","Retail", "Corporate")</f>
        <v>Retail</v>
      </c>
      <c r="Y2" t="str">
        <f>IF(AND(SALES_DATA4[[#This Row],[Customer Type]]="corporate",SALES_DATA4[[#This Row],[Discount]]&gt;=0.05),"Yes","No")</f>
        <v>No</v>
      </c>
      <c r="Z2" t="str">
        <f>IF(OR(SALES_DATA4[[#This Row],[Region]]="North",SALES_DATA4[[#This Row],[Region]]="South"),"Flag","No")</f>
        <v>Flag</v>
      </c>
    </row>
    <row r="3" spans="1:26" x14ac:dyDescent="0.35">
      <c r="A3" s="9">
        <v>1002</v>
      </c>
      <c r="B3" s="11">
        <v>46029</v>
      </c>
      <c r="C3" s="9" t="s">
        <v>11</v>
      </c>
      <c r="D3" s="9" t="s">
        <v>15</v>
      </c>
      <c r="E3" s="9" t="s">
        <v>21</v>
      </c>
      <c r="F3" s="9" t="str">
        <f t="shared" ref="F3:F21" si="0">_xlfn.XLOOKUP(E3,$R$2:$R$6,$S$2:$S$6)</f>
        <v>Electronics</v>
      </c>
      <c r="G3" s="9">
        <v>5</v>
      </c>
      <c r="H3" s="13">
        <v>18000</v>
      </c>
      <c r="I3" s="13">
        <f>_xlfn.XLOOKUP(SALES_DATA4[[#This Row],[Product]],$R$2:$R$6,$T$2:$T$6)</f>
        <v>18000</v>
      </c>
      <c r="J3" s="9">
        <v>0</v>
      </c>
      <c r="K3" s="9" t="s">
        <v>29</v>
      </c>
      <c r="L3" s="12">
        <v>90000</v>
      </c>
      <c r="M3" s="12">
        <v>90000</v>
      </c>
      <c r="R3" t="s">
        <v>21</v>
      </c>
      <c r="S3" t="s">
        <v>25</v>
      </c>
      <c r="T3">
        <v>18000</v>
      </c>
      <c r="V3" t="str">
        <f>IF(SALES_DATA4[[#This Row],[Unit Price]]&gt;SALES_DATA4[[#This Row],[Standard Price]],"Above Standard","Within Standard")</f>
        <v>Within Standard</v>
      </c>
      <c r="X3" t="str">
        <f>IF(SALES_DATA4[[#This Row],[Customer Type]]="Retail","Retail", "Corporate")</f>
        <v>Corporate</v>
      </c>
      <c r="Y3" t="str">
        <f>IF(AND(SALES_DATA4[[#This Row],[Customer Type]]="corporate",SALES_DATA4[[#This Row],[Discount]]&gt;=0.05),"Yes","No")</f>
        <v>No</v>
      </c>
      <c r="Z3" t="str">
        <f>IF(OR(SALES_DATA4[[#This Row],[Region]]="North",SALES_DATA4[[#This Row],[Region]]="South"),"Flag","No")</f>
        <v>No</v>
      </c>
    </row>
    <row r="4" spans="1:26" x14ac:dyDescent="0.35">
      <c r="A4" s="9">
        <v>1003</v>
      </c>
      <c r="B4" s="11">
        <v>46031</v>
      </c>
      <c r="C4" s="9" t="s">
        <v>12</v>
      </c>
      <c r="D4" s="9" t="s">
        <v>16</v>
      </c>
      <c r="E4" s="9" t="s">
        <v>22</v>
      </c>
      <c r="F4" s="9" t="str">
        <f t="shared" si="0"/>
        <v>Accessories</v>
      </c>
      <c r="G4" s="9">
        <v>12</v>
      </c>
      <c r="H4" s="13">
        <v>2200</v>
      </c>
      <c r="I4" s="13">
        <f>_xlfn.XLOOKUP(SALES_DATA4[[#This Row],[Product]],$R$2:$R$6,$T$2:$T$6)</f>
        <v>2100</v>
      </c>
      <c r="J4" s="9">
        <v>0.1</v>
      </c>
      <c r="K4" s="9" t="s">
        <v>28</v>
      </c>
      <c r="L4" s="12">
        <v>26400</v>
      </c>
      <c r="M4" s="12">
        <v>23760</v>
      </c>
      <c r="R4" t="s">
        <v>22</v>
      </c>
      <c r="S4" t="s">
        <v>26</v>
      </c>
      <c r="T4">
        <v>2100</v>
      </c>
      <c r="V4" t="str">
        <f>IF(SALES_DATA4[[#This Row],[Unit Price]]&gt;SALES_DATA4[[#This Row],[Standard Price]],"Above Standard","Within Standard")</f>
        <v>Above Standard</v>
      </c>
      <c r="X4" t="str">
        <f>IF(SALES_DATA4[[#This Row],[Customer Type]]="Retail","Retail", "Corporate")</f>
        <v>Retail</v>
      </c>
      <c r="Y4" t="str">
        <f>IF(AND(SALES_DATA4[[#This Row],[Customer Type]]="corporate",SALES_DATA4[[#This Row],[Discount]]&gt;=0.05),"Yes","No")</f>
        <v>No</v>
      </c>
      <c r="Z4" t="str">
        <f>IF(OR(SALES_DATA4[[#This Row],[Region]]="North",SALES_DATA4[[#This Row],[Region]]="South"),"Flag","No")</f>
        <v>Flag</v>
      </c>
    </row>
    <row r="5" spans="1:26" x14ac:dyDescent="0.35">
      <c r="A5" s="9">
        <v>1004</v>
      </c>
      <c r="B5" s="11">
        <v>46034</v>
      </c>
      <c r="C5" s="9" t="s">
        <v>13</v>
      </c>
      <c r="D5" s="9" t="s">
        <v>17</v>
      </c>
      <c r="E5" s="9" t="s">
        <v>23</v>
      </c>
      <c r="F5" s="9" t="str">
        <f t="shared" si="0"/>
        <v>Office</v>
      </c>
      <c r="G5" s="9">
        <v>4</v>
      </c>
      <c r="H5" s="13">
        <v>14500</v>
      </c>
      <c r="I5" s="13">
        <f>_xlfn.XLOOKUP(SALES_DATA4[[#This Row],[Product]],$R$2:$R$6,$T$2:$T$6)</f>
        <v>15000</v>
      </c>
      <c r="J5" s="9">
        <v>0.05</v>
      </c>
      <c r="K5" s="9" t="s">
        <v>29</v>
      </c>
      <c r="L5" s="12">
        <v>58000</v>
      </c>
      <c r="M5" s="12">
        <v>55100</v>
      </c>
      <c r="R5" t="s">
        <v>24</v>
      </c>
      <c r="S5" t="s">
        <v>26</v>
      </c>
      <c r="T5">
        <v>900</v>
      </c>
      <c r="V5" t="str">
        <f>IF(SALES_DATA4[[#This Row],[Unit Price]]&gt;SALES_DATA4[[#This Row],[Standard Price]],"Above Standard","Within Standard")</f>
        <v>Within Standard</v>
      </c>
      <c r="X5" t="str">
        <f>IF(SALES_DATA4[[#This Row],[Customer Type]]="Retail","Retail", "Corporate")</f>
        <v>Corporate</v>
      </c>
      <c r="Y5" t="str">
        <f>IF(AND(SALES_DATA4[[#This Row],[Customer Type]]="corporate",SALES_DATA4[[#This Row],[Discount]]&gt;=0.05),"Yes","No")</f>
        <v>Yes</v>
      </c>
      <c r="Z5" t="str">
        <f>IF(OR(SALES_DATA4[[#This Row],[Region]]="North",SALES_DATA4[[#This Row],[Region]]="South"),"Flag","No")</f>
        <v>No</v>
      </c>
    </row>
    <row r="6" spans="1:26" x14ac:dyDescent="0.35">
      <c r="A6" s="9">
        <v>1005</v>
      </c>
      <c r="B6" s="11">
        <v>46037</v>
      </c>
      <c r="C6" s="9" t="s">
        <v>10</v>
      </c>
      <c r="D6" s="9" t="s">
        <v>14</v>
      </c>
      <c r="E6" s="9" t="s">
        <v>24</v>
      </c>
      <c r="F6" s="9" t="str">
        <f t="shared" si="0"/>
        <v>Accessories</v>
      </c>
      <c r="G6" s="9">
        <v>20</v>
      </c>
      <c r="H6" s="13">
        <v>900</v>
      </c>
      <c r="I6" s="13">
        <f>_xlfn.XLOOKUP(SALES_DATA4[[#This Row],[Product]],$R$2:$R$6,$T$2:$T$6)</f>
        <v>900</v>
      </c>
      <c r="J6" s="9">
        <v>0</v>
      </c>
      <c r="K6" s="9" t="s">
        <v>28</v>
      </c>
      <c r="L6" s="12">
        <v>18000</v>
      </c>
      <c r="M6" s="12">
        <v>18000</v>
      </c>
      <c r="R6" t="s">
        <v>23</v>
      </c>
      <c r="S6" t="s">
        <v>27</v>
      </c>
      <c r="T6">
        <v>15000</v>
      </c>
      <c r="V6" t="str">
        <f>IF(SALES_DATA4[[#This Row],[Unit Price]]&gt;SALES_DATA4[[#This Row],[Standard Price]],"Above Standard","Within Standard")</f>
        <v>Within Standard</v>
      </c>
      <c r="X6" t="str">
        <f>IF(SALES_DATA4[[#This Row],[Customer Type]]="Retail","Retail", "Corporate")</f>
        <v>Retail</v>
      </c>
      <c r="Y6" t="str">
        <f>IF(AND(SALES_DATA4[[#This Row],[Customer Type]]="corporate",SALES_DATA4[[#This Row],[Discount]]&gt;=0.05),"Yes","No")</f>
        <v>No</v>
      </c>
      <c r="Z6" t="str">
        <f>IF(OR(SALES_DATA4[[#This Row],[Region]]="North",SALES_DATA4[[#This Row],[Region]]="South"),"Flag","No")</f>
        <v>Flag</v>
      </c>
    </row>
    <row r="7" spans="1:26" x14ac:dyDescent="0.35">
      <c r="A7" s="9">
        <v>1006</v>
      </c>
      <c r="B7" s="11">
        <v>46040</v>
      </c>
      <c r="C7" s="9" t="s">
        <v>11</v>
      </c>
      <c r="D7" s="9" t="s">
        <v>18</v>
      </c>
      <c r="E7" s="9" t="s">
        <v>20</v>
      </c>
      <c r="F7" s="9" t="str">
        <f t="shared" si="0"/>
        <v>Electronics</v>
      </c>
      <c r="G7" s="9">
        <v>2</v>
      </c>
      <c r="H7" s="14">
        <v>56000</v>
      </c>
      <c r="I7" s="14">
        <f>_xlfn.XLOOKUP(SALES_DATA4[[#This Row],[Product]],$R$2:$R$6,$T$2:$T$6)</f>
        <v>55000</v>
      </c>
      <c r="J7" s="9">
        <v>0.08</v>
      </c>
      <c r="K7" s="9" t="s">
        <v>29</v>
      </c>
      <c r="L7" s="12">
        <v>112000</v>
      </c>
      <c r="M7" s="12">
        <v>103040</v>
      </c>
      <c r="V7" t="str">
        <f>IF(SALES_DATA4[[#This Row],[Unit Price]]&gt;SALES_DATA4[[#This Row],[Standard Price]],"Above Standard","Within Standard")</f>
        <v>Above Standard</v>
      </c>
      <c r="X7" t="str">
        <f>IF(SALES_DATA4[[#This Row],[Customer Type]]="Retail","Retail", "Corporate")</f>
        <v>Corporate</v>
      </c>
      <c r="Y7" t="str">
        <f>IF(AND(SALES_DATA4[[#This Row],[Customer Type]]="corporate",SALES_DATA4[[#This Row],[Discount]]&gt;=0.05),"Yes","No")</f>
        <v>Yes</v>
      </c>
      <c r="Z7" t="str">
        <f>IF(OR(SALES_DATA4[[#This Row],[Region]]="North",SALES_DATA4[[#This Row],[Region]]="South"),"Flag","No")</f>
        <v>No</v>
      </c>
    </row>
    <row r="8" spans="1:26" x14ac:dyDescent="0.35">
      <c r="A8" s="9">
        <v>1007</v>
      </c>
      <c r="B8" s="11">
        <v>46043</v>
      </c>
      <c r="C8" s="9" t="s">
        <v>12</v>
      </c>
      <c r="D8" s="9" t="s">
        <v>16</v>
      </c>
      <c r="E8" s="9" t="s">
        <v>21</v>
      </c>
      <c r="F8" s="9" t="str">
        <f t="shared" si="0"/>
        <v>Electronics</v>
      </c>
      <c r="G8" s="9">
        <v>7</v>
      </c>
      <c r="H8" s="13">
        <v>17500</v>
      </c>
      <c r="I8" s="13">
        <f>_xlfn.XLOOKUP(SALES_DATA4[[#This Row],[Product]],$R$2:$R$6,$T$2:$T$6)</f>
        <v>18000</v>
      </c>
      <c r="J8" s="9">
        <v>0.05</v>
      </c>
      <c r="K8" s="9" t="s">
        <v>28</v>
      </c>
      <c r="L8" s="12">
        <v>122500</v>
      </c>
      <c r="M8" s="12">
        <v>116375</v>
      </c>
      <c r="V8" t="str">
        <f>IF(SALES_DATA4[[#This Row],[Unit Price]]&gt;SALES_DATA4[[#This Row],[Standard Price]],"Above Standard","Within Standard")</f>
        <v>Within Standard</v>
      </c>
      <c r="X8" t="str">
        <f>IF(SALES_DATA4[[#This Row],[Customer Type]]="Retail","Retail", "Corporate")</f>
        <v>Retail</v>
      </c>
      <c r="Y8" t="str">
        <f>IF(AND(SALES_DATA4[[#This Row],[Customer Type]]="corporate",SALES_DATA4[[#This Row],[Discount]]&gt;=0.05),"Yes","No")</f>
        <v>No</v>
      </c>
      <c r="Z8" t="str">
        <f>IF(OR(SALES_DATA4[[#This Row],[Region]]="North",SALES_DATA4[[#This Row],[Region]]="South"),"Flag","No")</f>
        <v>Flag</v>
      </c>
    </row>
    <row r="9" spans="1:26" x14ac:dyDescent="0.35">
      <c r="A9" s="9">
        <v>1008</v>
      </c>
      <c r="B9" s="11">
        <v>46046</v>
      </c>
      <c r="C9" s="9" t="s">
        <v>13</v>
      </c>
      <c r="D9" s="9" t="s">
        <v>17</v>
      </c>
      <c r="E9" s="9" t="s">
        <v>22</v>
      </c>
      <c r="F9" s="9" t="str">
        <f t="shared" si="0"/>
        <v>Accessories</v>
      </c>
      <c r="G9" s="9">
        <v>15</v>
      </c>
      <c r="H9" s="13">
        <v>2100</v>
      </c>
      <c r="I9" s="13">
        <f>_xlfn.XLOOKUP(SALES_DATA4[[#This Row],[Product]],$R$2:$R$6,$T$2:$T$6)</f>
        <v>2100</v>
      </c>
      <c r="J9" s="9">
        <v>0.1</v>
      </c>
      <c r="K9" s="9" t="s">
        <v>28</v>
      </c>
      <c r="L9" s="12">
        <v>31500</v>
      </c>
      <c r="M9" s="12">
        <v>28350</v>
      </c>
      <c r="V9" t="str">
        <f>IF(SALES_DATA4[[#This Row],[Unit Price]]&gt;SALES_DATA4[[#This Row],[Standard Price]],"Above Standard","Within Standard")</f>
        <v>Within Standard</v>
      </c>
      <c r="X9" t="str">
        <f>IF(SALES_DATA4[[#This Row],[Customer Type]]="Retail","Retail", "Corporate")</f>
        <v>Retail</v>
      </c>
      <c r="Y9" t="str">
        <f>IF(AND(SALES_DATA4[[#This Row],[Customer Type]]="corporate",SALES_DATA4[[#This Row],[Discount]]&gt;=0.05),"Yes","No")</f>
        <v>No</v>
      </c>
      <c r="Z9" t="str">
        <f>IF(OR(SALES_DATA4[[#This Row],[Region]]="North",SALES_DATA4[[#This Row],[Region]]="South"),"Flag","No")</f>
        <v>No</v>
      </c>
    </row>
    <row r="10" spans="1:26" x14ac:dyDescent="0.35">
      <c r="A10" s="9">
        <v>1009</v>
      </c>
      <c r="B10" s="11">
        <v>46050</v>
      </c>
      <c r="C10" s="9" t="s">
        <v>10</v>
      </c>
      <c r="D10" s="9" t="s">
        <v>19</v>
      </c>
      <c r="E10" s="9" t="s">
        <v>23</v>
      </c>
      <c r="F10" s="9" t="str">
        <f t="shared" si="0"/>
        <v>Office</v>
      </c>
      <c r="G10" s="9">
        <v>6</v>
      </c>
      <c r="H10" s="13">
        <v>15000</v>
      </c>
      <c r="I10" s="13">
        <f>_xlfn.XLOOKUP(SALES_DATA4[[#This Row],[Product]],$R$2:$R$6,$T$2:$T$6)</f>
        <v>15000</v>
      </c>
      <c r="J10" s="9">
        <v>0</v>
      </c>
      <c r="K10" s="9" t="s">
        <v>29</v>
      </c>
      <c r="L10" s="12">
        <v>90000</v>
      </c>
      <c r="M10" s="12">
        <v>90000</v>
      </c>
      <c r="V10" t="str">
        <f>IF(SALES_DATA4[[#This Row],[Unit Price]]&gt;SALES_DATA4[[#This Row],[Standard Price]],"Above Standard","Within Standard")</f>
        <v>Within Standard</v>
      </c>
      <c r="X10" t="str">
        <f>IF(SALES_DATA4[[#This Row],[Customer Type]]="Retail","Retail", "Corporate")</f>
        <v>Corporate</v>
      </c>
      <c r="Y10" t="str">
        <f>IF(AND(SALES_DATA4[[#This Row],[Customer Type]]="corporate",SALES_DATA4[[#This Row],[Discount]]&gt;=0.05),"Yes","No")</f>
        <v>No</v>
      </c>
      <c r="Z10" t="str">
        <f>IF(OR(SALES_DATA4[[#This Row],[Region]]="North",SALES_DATA4[[#This Row],[Region]]="South"),"Flag","No")</f>
        <v>Flag</v>
      </c>
    </row>
    <row r="11" spans="1:26" x14ac:dyDescent="0.35">
      <c r="A11" s="9">
        <v>1010</v>
      </c>
      <c r="B11" s="11">
        <v>46055</v>
      </c>
      <c r="C11" s="9" t="s">
        <v>11</v>
      </c>
      <c r="D11" s="9" t="s">
        <v>18</v>
      </c>
      <c r="E11" s="9" t="s">
        <v>24</v>
      </c>
      <c r="F11" s="9" t="str">
        <f t="shared" si="0"/>
        <v>Accessories</v>
      </c>
      <c r="G11" s="9">
        <v>25</v>
      </c>
      <c r="H11" s="13">
        <v>850</v>
      </c>
      <c r="I11" s="13">
        <f>_xlfn.XLOOKUP(SALES_DATA4[[#This Row],[Product]],$R$2:$R$6,$T$2:$T$6)</f>
        <v>900</v>
      </c>
      <c r="J11" s="9">
        <v>0.05</v>
      </c>
      <c r="K11" s="9" t="s">
        <v>28</v>
      </c>
      <c r="L11" s="12">
        <v>21250</v>
      </c>
      <c r="M11" s="12">
        <v>20187.5</v>
      </c>
      <c r="V11" t="str">
        <f>IF(SALES_DATA4[[#This Row],[Unit Price]]&gt;SALES_DATA4[[#This Row],[Standard Price]],"Above Standard","Within Standard")</f>
        <v>Within Standard</v>
      </c>
      <c r="X11" t="str">
        <f>IF(SALES_DATA4[[#This Row],[Customer Type]]="Retail","Retail", "Corporate")</f>
        <v>Retail</v>
      </c>
      <c r="Y11" t="str">
        <f>IF(AND(SALES_DATA4[[#This Row],[Customer Type]]="corporate",SALES_DATA4[[#This Row],[Discount]]&gt;=0.05),"Yes","No")</f>
        <v>No</v>
      </c>
      <c r="Z11" t="str">
        <f>IF(OR(SALES_DATA4[[#This Row],[Region]]="North",SALES_DATA4[[#This Row],[Region]]="South"),"Flag","No")</f>
        <v>No</v>
      </c>
    </row>
    <row r="12" spans="1:26" x14ac:dyDescent="0.35">
      <c r="A12" s="9">
        <v>1011</v>
      </c>
      <c r="B12" s="11">
        <v>46058</v>
      </c>
      <c r="C12" s="9" t="s">
        <v>12</v>
      </c>
      <c r="D12" s="9" t="s">
        <v>16</v>
      </c>
      <c r="E12" s="9" t="s">
        <v>20</v>
      </c>
      <c r="F12" s="9" t="str">
        <f t="shared" si="0"/>
        <v>Electronics</v>
      </c>
      <c r="G12" s="9">
        <v>4</v>
      </c>
      <c r="H12" s="12">
        <v>54500</v>
      </c>
      <c r="I12" s="12">
        <f>_xlfn.XLOOKUP(SALES_DATA4[[#This Row],[Product]],$R$2:$R$6,$T$2:$T$6)</f>
        <v>55000</v>
      </c>
      <c r="J12" s="9">
        <v>0.01</v>
      </c>
      <c r="K12" s="9" t="s">
        <v>29</v>
      </c>
      <c r="L12" s="12">
        <v>218000</v>
      </c>
      <c r="M12" s="12">
        <v>215820</v>
      </c>
      <c r="V12" t="str">
        <f>IF(SALES_DATA4[[#This Row],[Unit Price]]&gt;SALES_DATA4[[#This Row],[Standard Price]],"Above Standard","Within Standard")</f>
        <v>Within Standard</v>
      </c>
      <c r="X12" t="str">
        <f>IF(SALES_DATA4[[#This Row],[Customer Type]]="Retail","Retail", "Corporate")</f>
        <v>Corporate</v>
      </c>
      <c r="Y12" t="str">
        <f>IF(AND(SALES_DATA4[[#This Row],[Customer Type]]="corporate",SALES_DATA4[[#This Row],[Discount]]&gt;=0.05),"Yes","No")</f>
        <v>No</v>
      </c>
      <c r="Z12" t="str">
        <f>IF(OR(SALES_DATA4[[#This Row],[Region]]="North",SALES_DATA4[[#This Row],[Region]]="South"),"Flag","No")</f>
        <v>Flag</v>
      </c>
    </row>
    <row r="13" spans="1:26" x14ac:dyDescent="0.35">
      <c r="A13" s="9">
        <v>1012</v>
      </c>
      <c r="B13" s="11">
        <v>46062</v>
      </c>
      <c r="C13" s="9" t="s">
        <v>13</v>
      </c>
      <c r="D13" s="9" t="s">
        <v>17</v>
      </c>
      <c r="E13" s="9" t="s">
        <v>21</v>
      </c>
      <c r="F13" s="9" t="str">
        <f t="shared" si="0"/>
        <v>Electronics</v>
      </c>
      <c r="G13" s="9">
        <v>8</v>
      </c>
      <c r="H13" s="13">
        <v>18200</v>
      </c>
      <c r="I13" s="13">
        <f>_xlfn.XLOOKUP(SALES_DATA4[[#This Row],[Product]],$R$2:$R$6,$T$2:$T$6)</f>
        <v>18000</v>
      </c>
      <c r="J13" s="9">
        <v>0</v>
      </c>
      <c r="K13" s="9" t="s">
        <v>28</v>
      </c>
      <c r="L13" s="12">
        <v>145600</v>
      </c>
      <c r="M13" s="12">
        <v>145600</v>
      </c>
      <c r="V13" t="str">
        <f>IF(SALES_DATA4[[#This Row],[Unit Price]]&gt;SALES_DATA4[[#This Row],[Standard Price]],"Above Standard","Within Standard")</f>
        <v>Above Standard</v>
      </c>
      <c r="X13" t="str">
        <f>IF(SALES_DATA4[[#This Row],[Customer Type]]="Retail","Retail", "Corporate")</f>
        <v>Retail</v>
      </c>
      <c r="Y13" t="str">
        <f>IF(AND(SALES_DATA4[[#This Row],[Customer Type]]="corporate",SALES_DATA4[[#This Row],[Discount]]&gt;=0.05),"Yes","No")</f>
        <v>No</v>
      </c>
      <c r="Z13" t="str">
        <f>IF(OR(SALES_DATA4[[#This Row],[Region]]="North",SALES_DATA4[[#This Row],[Region]]="South"),"Flag","No")</f>
        <v>No</v>
      </c>
    </row>
    <row r="14" spans="1:26" x14ac:dyDescent="0.35">
      <c r="A14" s="9">
        <v>1013</v>
      </c>
      <c r="B14" s="11">
        <v>46066</v>
      </c>
      <c r="C14" s="9" t="s">
        <v>10</v>
      </c>
      <c r="D14" s="9" t="s">
        <v>19</v>
      </c>
      <c r="E14" s="9" t="s">
        <v>22</v>
      </c>
      <c r="F14" s="9" t="str">
        <f t="shared" si="0"/>
        <v>Accessories</v>
      </c>
      <c r="G14" s="9">
        <v>10</v>
      </c>
      <c r="H14" s="13">
        <v>2300</v>
      </c>
      <c r="I14" s="13">
        <f>_xlfn.XLOOKUP(SALES_DATA4[[#This Row],[Product]],$R$2:$R$6,$T$2:$T$6)</f>
        <v>2100</v>
      </c>
      <c r="J14" s="9">
        <v>0.05</v>
      </c>
      <c r="K14" s="9" t="s">
        <v>28</v>
      </c>
      <c r="L14" s="12">
        <v>23000</v>
      </c>
      <c r="M14" s="12">
        <v>21850</v>
      </c>
      <c r="V14" t="str">
        <f>IF(SALES_DATA4[[#This Row],[Unit Price]]&gt;SALES_DATA4[[#This Row],[Standard Price]],"Above Standard","Within Standard")</f>
        <v>Above Standard</v>
      </c>
      <c r="X14" t="str">
        <f>IF(SALES_DATA4[[#This Row],[Customer Type]]="Retail","Retail", "Corporate")</f>
        <v>Retail</v>
      </c>
      <c r="Y14" t="str">
        <f>IF(AND(SALES_DATA4[[#This Row],[Customer Type]]="corporate",SALES_DATA4[[#This Row],[Discount]]&gt;=0.05),"Yes","No")</f>
        <v>No</v>
      </c>
      <c r="Z14" t="str">
        <f>IF(OR(SALES_DATA4[[#This Row],[Region]]="North",SALES_DATA4[[#This Row],[Region]]="South"),"Flag","No")</f>
        <v>Flag</v>
      </c>
    </row>
    <row r="15" spans="1:26" x14ac:dyDescent="0.35">
      <c r="A15" s="9">
        <v>1014</v>
      </c>
      <c r="B15" s="11">
        <v>46070</v>
      </c>
      <c r="C15" s="9" t="s">
        <v>11</v>
      </c>
      <c r="D15" s="9" t="s">
        <v>18</v>
      </c>
      <c r="E15" s="9" t="s">
        <v>23</v>
      </c>
      <c r="F15" s="9" t="str">
        <f t="shared" si="0"/>
        <v>Office</v>
      </c>
      <c r="G15" s="9">
        <v>5</v>
      </c>
      <c r="H15" s="13">
        <v>14800</v>
      </c>
      <c r="I15" s="13">
        <f>_xlfn.XLOOKUP(SALES_DATA4[[#This Row],[Product]],$R$2:$R$6,$T$2:$T$6)</f>
        <v>15000</v>
      </c>
      <c r="J15" s="9">
        <v>0.08</v>
      </c>
      <c r="K15" s="9" t="s">
        <v>29</v>
      </c>
      <c r="L15" s="12">
        <v>74000</v>
      </c>
      <c r="M15" s="12">
        <v>68080</v>
      </c>
      <c r="V15" t="str">
        <f>IF(SALES_DATA4[[#This Row],[Unit Price]]&gt;SALES_DATA4[[#This Row],[Standard Price]],"Above Standard","Within Standard")</f>
        <v>Within Standard</v>
      </c>
      <c r="X15" t="str">
        <f>IF(SALES_DATA4[[#This Row],[Customer Type]]="Retail","Retail", "Corporate")</f>
        <v>Corporate</v>
      </c>
      <c r="Y15" t="str">
        <f>IF(AND(SALES_DATA4[[#This Row],[Customer Type]]="corporate",SALES_DATA4[[#This Row],[Discount]]&gt;=0.05),"Yes","No")</f>
        <v>Yes</v>
      </c>
      <c r="Z15" t="str">
        <f>IF(OR(SALES_DATA4[[#This Row],[Region]]="North",SALES_DATA4[[#This Row],[Region]]="South"),"Flag","No")</f>
        <v>No</v>
      </c>
    </row>
    <row r="16" spans="1:26" x14ac:dyDescent="0.35">
      <c r="A16" s="9">
        <v>1015</v>
      </c>
      <c r="B16" s="11">
        <v>46074</v>
      </c>
      <c r="C16" s="9" t="s">
        <v>12</v>
      </c>
      <c r="D16" s="9" t="s">
        <v>16</v>
      </c>
      <c r="E16" s="9" t="s">
        <v>24</v>
      </c>
      <c r="F16" s="9" t="str">
        <f t="shared" si="0"/>
        <v>Accessories</v>
      </c>
      <c r="G16" s="9">
        <v>8</v>
      </c>
      <c r="H16" s="13">
        <v>880</v>
      </c>
      <c r="I16" s="13">
        <f>_xlfn.XLOOKUP(SALES_DATA4[[#This Row],[Product]],$R$2:$R$6,$T$2:$T$6)</f>
        <v>900</v>
      </c>
      <c r="J16" s="9">
        <v>0</v>
      </c>
      <c r="K16" s="9" t="s">
        <v>28</v>
      </c>
      <c r="L16" s="12">
        <v>7040</v>
      </c>
      <c r="M16" s="12">
        <v>7040</v>
      </c>
      <c r="V16" t="str">
        <f>IF(SALES_DATA4[[#This Row],[Unit Price]]&gt;SALES_DATA4[[#This Row],[Standard Price]],"Above Standard","Within Standard")</f>
        <v>Within Standard</v>
      </c>
      <c r="X16" t="str">
        <f>IF(SALES_DATA4[[#This Row],[Customer Type]]="Retail","Retail", "Corporate")</f>
        <v>Retail</v>
      </c>
      <c r="Y16" t="str">
        <f>IF(AND(SALES_DATA4[[#This Row],[Customer Type]]="corporate",SALES_DATA4[[#This Row],[Discount]]&gt;=0.05),"Yes","No")</f>
        <v>No</v>
      </c>
      <c r="Z16" t="str">
        <f>IF(OR(SALES_DATA4[[#This Row],[Region]]="North",SALES_DATA4[[#This Row],[Region]]="South"),"Flag","No")</f>
        <v>Flag</v>
      </c>
    </row>
    <row r="17" spans="1:26" x14ac:dyDescent="0.35">
      <c r="A17" s="9">
        <v>1016</v>
      </c>
      <c r="B17" s="11">
        <v>46078</v>
      </c>
      <c r="C17" s="9" t="s">
        <v>13</v>
      </c>
      <c r="D17" s="9" t="s">
        <v>17</v>
      </c>
      <c r="E17" s="9" t="s">
        <v>20</v>
      </c>
      <c r="F17" s="9" t="str">
        <f t="shared" si="0"/>
        <v>Electronics</v>
      </c>
      <c r="G17" s="9">
        <v>3</v>
      </c>
      <c r="H17" s="12">
        <v>57000</v>
      </c>
      <c r="I17" s="12">
        <f>_xlfn.XLOOKUP(SALES_DATA4[[#This Row],[Product]],$R$2:$R$6,$T$2:$T$6)</f>
        <v>55000</v>
      </c>
      <c r="J17" s="9">
        <v>0.05</v>
      </c>
      <c r="K17" s="9" t="s">
        <v>29</v>
      </c>
      <c r="L17" s="12">
        <v>171000</v>
      </c>
      <c r="M17" s="12">
        <v>162450</v>
      </c>
      <c r="V17" t="str">
        <f>IF(SALES_DATA4[[#This Row],[Unit Price]]&gt;SALES_DATA4[[#This Row],[Standard Price]],"Above Standard","Within Standard")</f>
        <v>Above Standard</v>
      </c>
      <c r="X17" t="str">
        <f>IF(SALES_DATA4[[#This Row],[Customer Type]]="Retail","Retail", "Corporate")</f>
        <v>Corporate</v>
      </c>
      <c r="Y17" t="str">
        <f>IF(AND(SALES_DATA4[[#This Row],[Customer Type]]="corporate",SALES_DATA4[[#This Row],[Discount]]&gt;=0.05),"Yes","No")</f>
        <v>Yes</v>
      </c>
      <c r="Z17" t="str">
        <f>IF(OR(SALES_DATA4[[#This Row],[Region]]="North",SALES_DATA4[[#This Row],[Region]]="South"),"Flag","No")</f>
        <v>No</v>
      </c>
    </row>
    <row r="18" spans="1:26" x14ac:dyDescent="0.35">
      <c r="A18" s="9">
        <v>1017</v>
      </c>
      <c r="B18" s="11">
        <v>46084</v>
      </c>
      <c r="C18" s="9" t="s">
        <v>10</v>
      </c>
      <c r="D18" s="9" t="s">
        <v>14</v>
      </c>
      <c r="E18" s="9" t="s">
        <v>21</v>
      </c>
      <c r="F18" s="9" t="str">
        <f t="shared" si="0"/>
        <v>Electronics</v>
      </c>
      <c r="G18" s="9">
        <v>6</v>
      </c>
      <c r="H18" s="13">
        <v>17900</v>
      </c>
      <c r="I18" s="13">
        <f>_xlfn.XLOOKUP(SALES_DATA4[[#This Row],[Product]],$R$2:$R$6,$T$2:$T$6)</f>
        <v>18000</v>
      </c>
      <c r="J18" s="9">
        <v>0</v>
      </c>
      <c r="K18" s="9" t="s">
        <v>28</v>
      </c>
      <c r="L18" s="12">
        <v>107400</v>
      </c>
      <c r="M18" s="12">
        <v>107400</v>
      </c>
      <c r="V18" t="str">
        <f>IF(SALES_DATA4[[#This Row],[Unit Price]]&gt;SALES_DATA4[[#This Row],[Standard Price]],"Above Standard","Within Standard")</f>
        <v>Within Standard</v>
      </c>
      <c r="X18" t="str">
        <f>IF(SALES_DATA4[[#This Row],[Customer Type]]="Retail","Retail", "Corporate")</f>
        <v>Retail</v>
      </c>
      <c r="Y18" t="str">
        <f>IF(AND(SALES_DATA4[[#This Row],[Customer Type]]="corporate",SALES_DATA4[[#This Row],[Discount]]&gt;=0.05),"Yes","No")</f>
        <v>No</v>
      </c>
      <c r="Z18" t="str">
        <f>IF(OR(SALES_DATA4[[#This Row],[Region]]="North",SALES_DATA4[[#This Row],[Region]]="South"),"Flag","No")</f>
        <v>Flag</v>
      </c>
    </row>
    <row r="19" spans="1:26" x14ac:dyDescent="0.35">
      <c r="A19" s="9">
        <v>1018</v>
      </c>
      <c r="B19" s="11">
        <v>46089</v>
      </c>
      <c r="C19" s="9" t="s">
        <v>11</v>
      </c>
      <c r="D19" s="9" t="s">
        <v>18</v>
      </c>
      <c r="E19" s="9" t="s">
        <v>22</v>
      </c>
      <c r="F19" s="9" t="str">
        <f t="shared" si="0"/>
        <v>Accessories</v>
      </c>
      <c r="G19" s="9">
        <v>14</v>
      </c>
      <c r="H19" s="13">
        <v>2250</v>
      </c>
      <c r="I19" s="13">
        <f>_xlfn.XLOOKUP(SALES_DATA4[[#This Row],[Product]],$R$2:$R$6,$T$2:$T$6)</f>
        <v>2100</v>
      </c>
      <c r="J19" s="9">
        <v>0.1</v>
      </c>
      <c r="K19" s="9" t="s">
        <v>28</v>
      </c>
      <c r="L19" s="12">
        <v>31500</v>
      </c>
      <c r="M19" s="12">
        <v>28350</v>
      </c>
      <c r="V19" t="str">
        <f>IF(SALES_DATA4[[#This Row],[Unit Price]]&gt;SALES_DATA4[[#This Row],[Standard Price]],"Above Standard","Within Standard")</f>
        <v>Above Standard</v>
      </c>
      <c r="X19" t="str">
        <f>IF(SALES_DATA4[[#This Row],[Customer Type]]="Retail","Retail", "Corporate")</f>
        <v>Retail</v>
      </c>
      <c r="Y19" t="str">
        <f>IF(AND(SALES_DATA4[[#This Row],[Customer Type]]="corporate",SALES_DATA4[[#This Row],[Discount]]&gt;=0.05),"Yes","No")</f>
        <v>No</v>
      </c>
      <c r="Z19" t="str">
        <f>IF(OR(SALES_DATA4[[#This Row],[Region]]="North",SALES_DATA4[[#This Row],[Region]]="South"),"Flag","No")</f>
        <v>No</v>
      </c>
    </row>
    <row r="20" spans="1:26" x14ac:dyDescent="0.35">
      <c r="A20" s="9">
        <v>1019</v>
      </c>
      <c r="B20" s="11">
        <v>46095</v>
      </c>
      <c r="C20" s="9" t="s">
        <v>12</v>
      </c>
      <c r="D20" s="9" t="s">
        <v>16</v>
      </c>
      <c r="E20" s="9" t="s">
        <v>23</v>
      </c>
      <c r="F20" s="9" t="str">
        <f t="shared" si="0"/>
        <v>Office</v>
      </c>
      <c r="G20" s="9">
        <v>7</v>
      </c>
      <c r="H20" s="13">
        <v>14600</v>
      </c>
      <c r="I20" s="13">
        <f>_xlfn.XLOOKUP(SALES_DATA4[[#This Row],[Product]],$R$2:$R$6,$T$2:$T$6)</f>
        <v>15000</v>
      </c>
      <c r="J20" s="9">
        <v>0.05</v>
      </c>
      <c r="K20" s="9" t="s">
        <v>29</v>
      </c>
      <c r="L20" s="12">
        <v>102200</v>
      </c>
      <c r="M20" s="12">
        <v>97090</v>
      </c>
      <c r="V20" t="str">
        <f>IF(SALES_DATA4[[#This Row],[Unit Price]]&gt;SALES_DATA4[[#This Row],[Standard Price]],"Above Standard","Within Standard")</f>
        <v>Within Standard</v>
      </c>
      <c r="X20" t="str">
        <f>IF(SALES_DATA4[[#This Row],[Customer Type]]="Retail","Retail", "Corporate")</f>
        <v>Corporate</v>
      </c>
      <c r="Y20" t="str">
        <f>IF(AND(SALES_DATA4[[#This Row],[Customer Type]]="corporate",SALES_DATA4[[#This Row],[Discount]]&gt;=0.05),"Yes","No")</f>
        <v>Yes</v>
      </c>
      <c r="Z20" t="str">
        <f>IF(OR(SALES_DATA4[[#This Row],[Region]]="North",SALES_DATA4[[#This Row],[Region]]="South"),"Flag","No")</f>
        <v>Flag</v>
      </c>
    </row>
    <row r="21" spans="1:26" x14ac:dyDescent="0.35">
      <c r="A21" s="9">
        <v>1020</v>
      </c>
      <c r="B21" s="11">
        <v>46100</v>
      </c>
      <c r="C21" s="9" t="s">
        <v>13</v>
      </c>
      <c r="D21" s="9" t="s">
        <v>17</v>
      </c>
      <c r="E21" s="9" t="s">
        <v>24</v>
      </c>
      <c r="F21" s="9" t="str">
        <f t="shared" si="0"/>
        <v>Accessories</v>
      </c>
      <c r="G21" s="9">
        <v>22</v>
      </c>
      <c r="H21" s="13">
        <v>920</v>
      </c>
      <c r="I21" s="13">
        <f>_xlfn.XLOOKUP(SALES_DATA4[[#This Row],[Product]],$R$2:$R$6,$T$2:$T$6)</f>
        <v>900</v>
      </c>
      <c r="J21" s="9">
        <v>0</v>
      </c>
      <c r="K21" s="9" t="s">
        <v>28</v>
      </c>
      <c r="L21" s="12">
        <v>20240</v>
      </c>
      <c r="M21" s="12">
        <v>20240</v>
      </c>
      <c r="V21" t="str">
        <f>IF(SALES_DATA4[[#This Row],[Unit Price]]&gt;SALES_DATA4[[#This Row],[Standard Price]],"Above Standard","Within Standard")</f>
        <v>Above Standard</v>
      </c>
      <c r="X21" t="str">
        <f>IF(SALES_DATA4[[#This Row],[Customer Type]]="Retail","Retail", "Corporate")</f>
        <v>Retail</v>
      </c>
      <c r="Y21" t="str">
        <f>IF(AND(SALES_DATA4[[#This Row],[Customer Type]]="corporate",SALES_DATA4[[#This Row],[Discount]]&gt;=0.05),"Yes","No")</f>
        <v>No</v>
      </c>
      <c r="Z21" t="str">
        <f>IF(OR(SALES_DATA4[[#This Row],[Region]]="North",SALES_DATA4[[#This Row],[Region]]="South"),"Flag","No")</f>
        <v>No</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EE5AA-6602-497E-9DB3-F28709A50250}">
  <sheetPr>
    <tabColor theme="9" tint="-0.249977111117893"/>
  </sheetPr>
  <dimension ref="A2:M46"/>
  <sheetViews>
    <sheetView tabSelected="1" zoomScale="85" zoomScaleNormal="85" workbookViewId="0">
      <selection activeCell="B12" sqref="B12"/>
    </sheetView>
  </sheetViews>
  <sheetFormatPr defaultRowHeight="14.5" x14ac:dyDescent="0.35"/>
  <cols>
    <col min="1" max="1" width="13.1796875" bestFit="1" customWidth="1"/>
    <col min="2" max="2" width="19.08984375" bestFit="1" customWidth="1"/>
    <col min="3" max="3" width="14.7265625" customWidth="1"/>
    <col min="4" max="4" width="12.36328125" bestFit="1" customWidth="1"/>
    <col min="5" max="5" width="16.90625" customWidth="1"/>
    <col min="6" max="6" width="10.36328125" bestFit="1" customWidth="1"/>
    <col min="7" max="7" width="14.81640625" bestFit="1" customWidth="1"/>
    <col min="8" max="8" width="17.08984375" customWidth="1"/>
    <col min="9" max="9" width="13" bestFit="1" customWidth="1"/>
    <col min="10" max="10" width="14.6328125" customWidth="1"/>
    <col min="11" max="11" width="16.453125" customWidth="1"/>
    <col min="12" max="12" width="13.26953125" customWidth="1"/>
    <col min="13" max="13" width="16.1796875" customWidth="1"/>
    <col min="14" max="19" width="11.90625" bestFit="1" customWidth="1"/>
    <col min="20" max="20" width="10.7265625" bestFit="1" customWidth="1"/>
  </cols>
  <sheetData>
    <row r="2" spans="1:3" x14ac:dyDescent="0.35">
      <c r="A2" t="s">
        <v>62</v>
      </c>
      <c r="C2" t="s">
        <v>73</v>
      </c>
    </row>
    <row r="3" spans="1:3" x14ac:dyDescent="0.35">
      <c r="A3" s="2" t="s">
        <v>30</v>
      </c>
      <c r="B3" t="s">
        <v>65</v>
      </c>
    </row>
    <row r="4" spans="1:3" x14ac:dyDescent="0.35">
      <c r="A4" s="3" t="s">
        <v>12</v>
      </c>
      <c r="B4" s="8">
        <v>460085</v>
      </c>
    </row>
    <row r="5" spans="1:3" x14ac:dyDescent="0.35">
      <c r="A5" s="3" t="s">
        <v>13</v>
      </c>
      <c r="B5" s="8">
        <v>411740</v>
      </c>
    </row>
    <row r="6" spans="1:3" x14ac:dyDescent="0.35">
      <c r="A6" s="3" t="s">
        <v>10</v>
      </c>
      <c r="B6" s="8">
        <v>394000</v>
      </c>
    </row>
    <row r="7" spans="1:3" x14ac:dyDescent="0.35">
      <c r="A7" s="3" t="s">
        <v>11</v>
      </c>
      <c r="B7" s="8">
        <v>309657.5</v>
      </c>
    </row>
    <row r="8" spans="1:3" x14ac:dyDescent="0.35">
      <c r="A8" s="3" t="s">
        <v>31</v>
      </c>
      <c r="B8" s="8">
        <v>1575482.5</v>
      </c>
    </row>
    <row r="21" spans="1:13" x14ac:dyDescent="0.35">
      <c r="C21" t="s">
        <v>55</v>
      </c>
    </row>
    <row r="22" spans="1:13" x14ac:dyDescent="0.35">
      <c r="F22" t="s">
        <v>68</v>
      </c>
    </row>
    <row r="23" spans="1:13" x14ac:dyDescent="0.35">
      <c r="A23" t="s">
        <v>53</v>
      </c>
      <c r="F23" s="2" t="s">
        <v>30</v>
      </c>
      <c r="G23" t="s">
        <v>67</v>
      </c>
      <c r="I23" t="s">
        <v>42</v>
      </c>
    </row>
    <row r="24" spans="1:13" x14ac:dyDescent="0.35">
      <c r="A24" s="2" t="s">
        <v>30</v>
      </c>
      <c r="B24" t="s">
        <v>72</v>
      </c>
      <c r="F24" s="3" t="s">
        <v>22</v>
      </c>
      <c r="G24">
        <v>51</v>
      </c>
      <c r="I24" s="2" t="s">
        <v>65</v>
      </c>
      <c r="J24" s="2" t="s">
        <v>66</v>
      </c>
    </row>
    <row r="25" spans="1:13" x14ac:dyDescent="0.35">
      <c r="A25" s="3" t="s">
        <v>26</v>
      </c>
      <c r="B25" s="8">
        <v>1550</v>
      </c>
      <c r="F25" s="3" t="s">
        <v>20</v>
      </c>
      <c r="G25">
        <v>12</v>
      </c>
      <c r="I25" s="2" t="s">
        <v>30</v>
      </c>
      <c r="J25" t="s">
        <v>26</v>
      </c>
      <c r="K25" t="s">
        <v>25</v>
      </c>
      <c r="L25" t="s">
        <v>27</v>
      </c>
      <c r="M25" t="s">
        <v>31</v>
      </c>
    </row>
    <row r="26" spans="1:13" x14ac:dyDescent="0.35">
      <c r="A26" s="3" t="s">
        <v>25</v>
      </c>
      <c r="B26" s="8">
        <v>36762.5</v>
      </c>
      <c r="F26" s="3" t="s">
        <v>21</v>
      </c>
      <c r="G26">
        <v>26</v>
      </c>
      <c r="I26" s="3" t="s">
        <v>13</v>
      </c>
      <c r="J26" s="8">
        <v>48590</v>
      </c>
      <c r="K26" s="8">
        <v>308050</v>
      </c>
      <c r="L26" s="8">
        <v>55100</v>
      </c>
      <c r="M26" s="8">
        <v>411740</v>
      </c>
    </row>
    <row r="27" spans="1:13" x14ac:dyDescent="0.35">
      <c r="A27" s="3" t="s">
        <v>27</v>
      </c>
      <c r="B27" s="8">
        <v>14725</v>
      </c>
      <c r="F27" s="3" t="s">
        <v>24</v>
      </c>
      <c r="G27">
        <v>75</v>
      </c>
      <c r="I27" s="3" t="s">
        <v>10</v>
      </c>
      <c r="J27" s="8">
        <v>39850</v>
      </c>
      <c r="K27" s="8">
        <v>264150</v>
      </c>
      <c r="L27" s="8">
        <v>90000</v>
      </c>
      <c r="M27" s="8">
        <v>394000</v>
      </c>
    </row>
    <row r="28" spans="1:13" x14ac:dyDescent="0.35">
      <c r="A28" s="3" t="s">
        <v>31</v>
      </c>
      <c r="B28" s="8">
        <v>18270</v>
      </c>
      <c r="F28" s="3" t="s">
        <v>23</v>
      </c>
      <c r="G28">
        <v>22</v>
      </c>
      <c r="I28" s="3" t="s">
        <v>12</v>
      </c>
      <c r="J28" s="8">
        <v>30800</v>
      </c>
      <c r="K28" s="8">
        <v>332195</v>
      </c>
      <c r="L28" s="8">
        <v>97090</v>
      </c>
      <c r="M28" s="8">
        <v>460085</v>
      </c>
    </row>
    <row r="29" spans="1:13" x14ac:dyDescent="0.35">
      <c r="F29" s="3" t="s">
        <v>31</v>
      </c>
      <c r="G29">
        <v>186</v>
      </c>
      <c r="I29" s="3" t="s">
        <v>11</v>
      </c>
      <c r="J29" s="8">
        <v>48537.5</v>
      </c>
      <c r="K29" s="8">
        <v>193040</v>
      </c>
      <c r="L29" s="8">
        <v>68080</v>
      </c>
      <c r="M29" s="8">
        <v>309657.5</v>
      </c>
    </row>
    <row r="30" spans="1:13" x14ac:dyDescent="0.35">
      <c r="I30" s="3" t="s">
        <v>31</v>
      </c>
      <c r="J30" s="8">
        <v>167777.5</v>
      </c>
      <c r="K30" s="8">
        <v>1097435</v>
      </c>
      <c r="L30" s="8">
        <v>310270</v>
      </c>
      <c r="M30" s="8">
        <v>1575482.5</v>
      </c>
    </row>
    <row r="38" spans="2:10" x14ac:dyDescent="0.35">
      <c r="B38" t="s">
        <v>43</v>
      </c>
      <c r="F38" t="s">
        <v>45</v>
      </c>
      <c r="I38" t="s">
        <v>37</v>
      </c>
    </row>
    <row r="39" spans="2:10" x14ac:dyDescent="0.35">
      <c r="B39" s="2" t="s">
        <v>30</v>
      </c>
      <c r="C39" t="s">
        <v>65</v>
      </c>
      <c r="F39" s="2" t="s">
        <v>30</v>
      </c>
      <c r="G39" t="s">
        <v>65</v>
      </c>
      <c r="I39" s="2" t="s">
        <v>30</v>
      </c>
      <c r="J39" t="s">
        <v>65</v>
      </c>
    </row>
    <row r="40" spans="2:10" x14ac:dyDescent="0.35">
      <c r="B40" s="3" t="s">
        <v>14</v>
      </c>
      <c r="C40" s="8">
        <v>282150</v>
      </c>
      <c r="F40" s="3" t="s">
        <v>29</v>
      </c>
      <c r="G40" s="8">
        <v>881580</v>
      </c>
      <c r="I40" s="3" t="s">
        <v>69</v>
      </c>
      <c r="J40" s="8">
        <v>681375</v>
      </c>
    </row>
    <row r="41" spans="2:10" x14ac:dyDescent="0.35">
      <c r="B41" s="3" t="s">
        <v>15</v>
      </c>
      <c r="C41" s="8">
        <v>90000</v>
      </c>
      <c r="F41" s="3" t="s">
        <v>28</v>
      </c>
      <c r="G41" s="8">
        <v>693902.5</v>
      </c>
      <c r="I41" s="3" t="s">
        <v>70</v>
      </c>
      <c r="J41" s="8">
        <v>641027.5</v>
      </c>
    </row>
    <row r="42" spans="2:10" x14ac:dyDescent="0.35">
      <c r="B42" s="3" t="s">
        <v>16</v>
      </c>
      <c r="C42" s="8">
        <v>460085</v>
      </c>
      <c r="F42" s="3" t="s">
        <v>31</v>
      </c>
      <c r="G42" s="8">
        <v>1575482.5</v>
      </c>
      <c r="I42" s="3" t="s">
        <v>71</v>
      </c>
      <c r="J42" s="8">
        <v>253080</v>
      </c>
    </row>
    <row r="43" spans="2:10" x14ac:dyDescent="0.35">
      <c r="B43" s="3" t="s">
        <v>17</v>
      </c>
      <c r="C43" s="8">
        <v>411740</v>
      </c>
      <c r="I43" s="3" t="s">
        <v>31</v>
      </c>
      <c r="J43" s="8">
        <v>1575482.5</v>
      </c>
    </row>
    <row r="44" spans="2:10" x14ac:dyDescent="0.35">
      <c r="B44" s="3" t="s">
        <v>18</v>
      </c>
      <c r="C44" s="8">
        <v>219657.5</v>
      </c>
    </row>
    <row r="45" spans="2:10" x14ac:dyDescent="0.35">
      <c r="B45" s="3" t="s">
        <v>19</v>
      </c>
      <c r="C45" s="8">
        <v>111850</v>
      </c>
    </row>
    <row r="46" spans="2:10" x14ac:dyDescent="0.35">
      <c r="B46" s="3" t="s">
        <v>31</v>
      </c>
      <c r="C46" s="8">
        <v>1575482.5</v>
      </c>
    </row>
  </sheetData>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SECTION A</vt:lpstr>
      <vt:lpstr>SECTION B</vt:lpstr>
      <vt:lpstr>SECTION C</vt:lpstr>
      <vt:lpstr>SECTION 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ANMOL SINGH</cp:lastModifiedBy>
  <cp:lastPrinted>2026-09-10T20:29:06Z</cp:lastPrinted>
  <dcterms:created xsi:type="dcterms:W3CDTF">2026-09-08T08:48:30Z</dcterms:created>
  <dcterms:modified xsi:type="dcterms:W3CDTF">2026-09-22T13:41:24Z</dcterms:modified>
</cp:coreProperties>
</file>